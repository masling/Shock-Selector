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2935" firstSheet="16" activeTab="17"/>
  </bookViews>
  <sheets>
    <sheet name="垂直旋转-横梁或挡板-重力反方向 " sheetId="21" r:id="rId1"/>
    <sheet name="垂直旋转-横梁或挡板-重力方向" sheetId="20" r:id="rId2"/>
    <sheet name="垂直旋转-负荷-重力反方向 " sheetId="19" r:id="rId3"/>
    <sheet name="垂直旋转-负荷-重力方向" sheetId="18" r:id="rId4"/>
    <sheet name="水平旋转-工作台" sheetId="17" r:id="rId5"/>
    <sheet name="水平旋转-横梁或挡板" sheetId="16" r:id="rId6"/>
    <sheet name="水平旋转-负荷" sheetId="15" r:id="rId7"/>
    <sheet name="斜坡-自由滑动" sheetId="14" r:id="rId8"/>
    <sheet name="垂直-推进力-重力反方向 " sheetId="13" r:id="rId9"/>
    <sheet name="垂直-推进力-重力方向" sheetId="12" r:id="rId10"/>
    <sheet name="垂直-电机-重力方向" sheetId="11" r:id="rId11"/>
    <sheet name="垂直-电机-重力反方向" sheetId="10" r:id="rId12"/>
    <sheet name="垂直-气缸-重力反方向" sheetId="9" r:id="rId13"/>
    <sheet name="垂直-气缸-重力方向" sheetId="8" r:id="rId14"/>
    <sheet name="垂直-自由落体" sheetId="4" r:id="rId15"/>
    <sheet name="水平-气缸驱动" sheetId="1" r:id="rId16"/>
    <sheet name="水平-附加推进力" sheetId="7" r:id="rId17"/>
    <sheet name="水平-电机驱动" sheetId="6" r:id="rId18"/>
    <sheet name="水平-自由水平运动" sheetId="5" r:id="rId19"/>
    <sheet name="数据库" sheetId="3" r:id="rId20"/>
  </sheets>
  <definedNames>
    <definedName name="_xlnm._FilterDatabase" localSheetId="19" hidden="1">数据库!$A$1:$J$198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<sst xmlns="http://schemas.openxmlformats.org/spreadsheetml/2006/main" count="1189" uniqueCount="280">
  <si>
    <t>参数</t>
  </si>
  <si>
    <t>输入数值</t>
  </si>
  <si>
    <t>单位</t>
  </si>
  <si>
    <t>同时使用缓冲器数量</t>
  </si>
  <si>
    <t>循环次数</t>
  </si>
  <si>
    <t>次/每小时</t>
  </si>
  <si>
    <t>挡板重量（W)</t>
  </si>
  <si>
    <t>kg</t>
  </si>
  <si>
    <t>宽度(A)</t>
  </si>
  <si>
    <t>m</t>
  </si>
  <si>
    <t>厚度(B)</t>
  </si>
  <si>
    <t>角速度(ω)</t>
  </si>
  <si>
    <t>rad/s</t>
  </si>
  <si>
    <t>扭矩(T)</t>
  </si>
  <si>
    <t>Nm</t>
  </si>
  <si>
    <t>安装半径(Rs)</t>
  </si>
  <si>
    <t>旋转角度(ᴓ)</t>
  </si>
  <si>
    <t>deg</t>
  </si>
  <si>
    <t>起点对应垂直线角度(θ)</t>
  </si>
  <si>
    <t>计算结果</t>
  </si>
  <si>
    <t>数值</t>
  </si>
  <si>
    <t>最大能力</t>
  </si>
  <si>
    <t>关键行程参数</t>
  </si>
  <si>
    <t>动能</t>
  </si>
  <si>
    <t>做功能量</t>
  </si>
  <si>
    <t>每次最大吸收能量(Nm/c)</t>
  </si>
  <si>
    <t>30%-100%</t>
  </si>
  <si>
    <t>总能量（每次）</t>
  </si>
  <si>
    <t>Nm/c</t>
  </si>
  <si>
    <t>总能量（每小时）</t>
  </si>
  <si>
    <t>Nm/h</t>
  </si>
  <si>
    <t>推进力</t>
  </si>
  <si>
    <t>N</t>
  </si>
  <si>
    <t>减速加速度</t>
  </si>
  <si>
    <t>G</t>
  </si>
  <si>
    <t>冲击速度</t>
  </si>
  <si>
    <t>m/s</t>
  </si>
  <si>
    <t>负荷重量（W)</t>
  </si>
  <si>
    <t>旋转半径（K)</t>
  </si>
  <si>
    <t>工作台重量</t>
  </si>
  <si>
    <t>负荷重量(W1)</t>
  </si>
  <si>
    <t>旋转半径(K)</t>
  </si>
  <si>
    <t>旋转台直径(d)</t>
  </si>
  <si>
    <t>横梁重量</t>
  </si>
  <si>
    <t>长度（L）</t>
  </si>
  <si>
    <t>厚度(B）</t>
  </si>
  <si>
    <t>冲击物体重量</t>
  </si>
  <si>
    <t>高度</t>
  </si>
  <si>
    <t>斜角α</t>
  </si>
  <si>
    <t>速度</t>
  </si>
  <si>
    <t>电机功率</t>
  </si>
  <si>
    <t>kW</t>
  </si>
  <si>
    <t>推进气缸数量</t>
  </si>
  <si>
    <t>气缸内径</t>
  </si>
  <si>
    <t>mm</t>
  </si>
  <si>
    <t>气缸工作压力</t>
  </si>
  <si>
    <t>bar</t>
  </si>
  <si>
    <t>产品型号</t>
  </si>
  <si>
    <t>类型</t>
  </si>
  <si>
    <t>缓冲行程（mm)</t>
  </si>
  <si>
    <t>每小时最大吸收能量(Nm/h)</t>
  </si>
  <si>
    <t>最大冲击力N</t>
  </si>
  <si>
    <t>最大推进力N</t>
  </si>
  <si>
    <t>总长度</t>
  </si>
  <si>
    <t>螺纹尺寸</t>
  </si>
  <si>
    <t>产品照片</t>
  </si>
  <si>
    <t>ES18985</t>
  </si>
  <si>
    <t>固定型</t>
  </si>
  <si>
    <t>M12x1.0</t>
  </si>
  <si>
    <t>ES18983F-BN</t>
  </si>
  <si>
    <t>M14x1.5</t>
  </si>
  <si>
    <t>ES18983</t>
  </si>
  <si>
    <t>ES18374</t>
  </si>
  <si>
    <t>M27x3.0</t>
  </si>
  <si>
    <t>ES18373</t>
  </si>
  <si>
    <t>ES18363</t>
  </si>
  <si>
    <t>ES18295</t>
  </si>
  <si>
    <t>M20x1.5</t>
  </si>
  <si>
    <t>ES18294</t>
  </si>
  <si>
    <t>ES18213</t>
  </si>
  <si>
    <t>M25x1.5</t>
  </si>
  <si>
    <t>ES18212</t>
  </si>
  <si>
    <t>ES18062</t>
  </si>
  <si>
    <t>EN8x6B</t>
  </si>
  <si>
    <t>M8x1.0</t>
  </si>
  <si>
    <t>EN8x6</t>
  </si>
  <si>
    <t>EN64x50</t>
  </si>
  <si>
    <t>M64x2.0</t>
  </si>
  <si>
    <t>EN64x150</t>
  </si>
  <si>
    <t>EN64x100</t>
  </si>
  <si>
    <t>EN45x75</t>
  </si>
  <si>
    <t>M45x1.5</t>
  </si>
  <si>
    <t>EN45x50</t>
  </si>
  <si>
    <t>EN45x25</t>
  </si>
  <si>
    <t>EN36x50B</t>
  </si>
  <si>
    <t>M36x1.5</t>
  </si>
  <si>
    <t>EN36x50</t>
  </si>
  <si>
    <t>EN36x25B</t>
  </si>
  <si>
    <t>EN36x25</t>
  </si>
  <si>
    <t>EN33x50B</t>
  </si>
  <si>
    <t>M33x1.5</t>
  </si>
  <si>
    <t>EN33x50</t>
  </si>
  <si>
    <t>EN33x25B</t>
  </si>
  <si>
    <t>EN33x25</t>
  </si>
  <si>
    <t>EN27x25B</t>
  </si>
  <si>
    <t>EN27x25</t>
  </si>
  <si>
    <t>EN25x25B</t>
  </si>
  <si>
    <t>EN25x25</t>
  </si>
  <si>
    <t>EN20x22B</t>
  </si>
  <si>
    <t>EN20x22</t>
  </si>
  <si>
    <t>EN20x12B</t>
  </si>
  <si>
    <t>EN20x12</t>
  </si>
  <si>
    <t>EN14x16B</t>
  </si>
  <si>
    <t>EN14x16</t>
  </si>
  <si>
    <t>EN14x12B</t>
  </si>
  <si>
    <t>EN14x12</t>
  </si>
  <si>
    <t>EN12x10B</t>
  </si>
  <si>
    <t>EN12x10</t>
  </si>
  <si>
    <t>EN10x7B</t>
  </si>
  <si>
    <t>M10x1.0</t>
  </si>
  <si>
    <t>EN10x7</t>
  </si>
  <si>
    <t>EKL64x50</t>
  </si>
  <si>
    <t>可调型</t>
  </si>
  <si>
    <t>EKL42x50</t>
  </si>
  <si>
    <t>M42x1.5</t>
  </si>
  <si>
    <t>EKL42x25</t>
  </si>
  <si>
    <t>EKL36x50</t>
  </si>
  <si>
    <t>EKL36x25</t>
  </si>
  <si>
    <t>EKL33x50</t>
  </si>
  <si>
    <t>EKL33x25</t>
  </si>
  <si>
    <t>EKL27x25B</t>
  </si>
  <si>
    <t>EKL27x25</t>
  </si>
  <si>
    <t>EKL25x25B</t>
  </si>
  <si>
    <t>M25X1.5</t>
  </si>
  <si>
    <t>EKL25x25</t>
  </si>
  <si>
    <t>EKL20x12B</t>
  </si>
  <si>
    <t>EKL20x12</t>
  </si>
  <si>
    <t>EKL16x12B</t>
  </si>
  <si>
    <t>M16x1.5</t>
  </si>
  <si>
    <t>EKL16x12</t>
  </si>
  <si>
    <t>EKL14x10B</t>
  </si>
  <si>
    <t>EKL14x10</t>
  </si>
  <si>
    <t>EK85x90</t>
  </si>
  <si>
    <t>M85X2.0</t>
  </si>
  <si>
    <t>EK85x50</t>
  </si>
  <si>
    <t>EK85x165</t>
  </si>
  <si>
    <t>EK85x125</t>
  </si>
  <si>
    <t>EK64x50</t>
  </si>
  <si>
    <t>EK64x150</t>
  </si>
  <si>
    <t>EK64x100</t>
  </si>
  <si>
    <t>EK42x75</t>
  </si>
  <si>
    <t>EK42x50</t>
  </si>
  <si>
    <t>EK42x25</t>
  </si>
  <si>
    <t>EK36x50</t>
  </si>
  <si>
    <t>EK36x25</t>
  </si>
  <si>
    <t>EK33x50</t>
  </si>
  <si>
    <t>EK33x25</t>
  </si>
  <si>
    <t>EK27x25B</t>
  </si>
  <si>
    <t>EK27x25</t>
  </si>
  <si>
    <t>EK25x25B</t>
  </si>
  <si>
    <t>EK25x25</t>
  </si>
  <si>
    <t>EK20x12B</t>
  </si>
  <si>
    <t>EK20x12</t>
  </si>
  <si>
    <t>EK16x12B</t>
  </si>
  <si>
    <t>EK16x12</t>
  </si>
  <si>
    <t>EK14x10B</t>
  </si>
  <si>
    <t>EK14x10</t>
  </si>
  <si>
    <t>EK12x10B</t>
  </si>
  <si>
    <t>EK12x10</t>
  </si>
  <si>
    <t>EK10x7B</t>
  </si>
  <si>
    <t>EK10x7</t>
  </si>
  <si>
    <t>EI80x50</t>
  </si>
  <si>
    <t>EI80x100</t>
  </si>
  <si>
    <t>EI50x50</t>
  </si>
  <si>
    <t>EI50x100</t>
  </si>
  <si>
    <t>EI150x800</t>
  </si>
  <si>
    <t>EI150X600</t>
  </si>
  <si>
    <t>EI150x500</t>
  </si>
  <si>
    <t>EI150x400</t>
  </si>
  <si>
    <t>EI150x150</t>
  </si>
  <si>
    <t>EI150x115</t>
  </si>
  <si>
    <t>EI150x1000</t>
  </si>
  <si>
    <t>EI130x800</t>
  </si>
  <si>
    <t>EI130x600</t>
  </si>
  <si>
    <t>EI130x400</t>
  </si>
  <si>
    <t>EI130x300</t>
  </si>
  <si>
    <t>EI130x250</t>
  </si>
  <si>
    <t>EI120x800</t>
  </si>
  <si>
    <t>EI120x600</t>
  </si>
  <si>
    <t>EI120x400</t>
  </si>
  <si>
    <t>EI120x300</t>
  </si>
  <si>
    <t>EI120x200</t>
  </si>
  <si>
    <t>EI120x150</t>
  </si>
  <si>
    <t>EI120x1000</t>
  </si>
  <si>
    <t>EI120x100</t>
  </si>
  <si>
    <t>EI100x800</t>
  </si>
  <si>
    <t>EI100x600</t>
  </si>
  <si>
    <t>EI100x500</t>
  </si>
  <si>
    <t>EI100x50</t>
  </si>
  <si>
    <t>EI100x400</t>
  </si>
  <si>
    <t>EI100x200</t>
  </si>
  <si>
    <t>EI100x150</t>
  </si>
  <si>
    <t>EI100x100</t>
  </si>
  <si>
    <t>ED4.0x8</t>
  </si>
  <si>
    <t>ED4.0x6</t>
  </si>
  <si>
    <t>ED4.0x48</t>
  </si>
  <si>
    <t>ED4.0x40</t>
  </si>
  <si>
    <t>ED4.0x4</t>
  </si>
  <si>
    <t>ED4.0x36</t>
  </si>
  <si>
    <t>ED4.0x32</t>
  </si>
  <si>
    <t>ED4.0x28</t>
  </si>
  <si>
    <t>ED4.0x24</t>
  </si>
  <si>
    <t>ED4.0x20</t>
  </si>
  <si>
    <t>ED4.0x2</t>
  </si>
  <si>
    <t>ED4.0x16</t>
  </si>
  <si>
    <t>ED4.0x12</t>
  </si>
  <si>
    <t>ED4.0x10</t>
  </si>
  <si>
    <t>ED3.5x8</t>
  </si>
  <si>
    <t>ED3.5x6</t>
  </si>
  <si>
    <t>ED3.5x56</t>
  </si>
  <si>
    <t>ED3.5x48</t>
  </si>
  <si>
    <t>ED3.5x40</t>
  </si>
  <si>
    <t>ED3.5x4</t>
  </si>
  <si>
    <t>ED3.5x36</t>
  </si>
  <si>
    <t>ED3.5x32</t>
  </si>
  <si>
    <t>ED3.5x28</t>
  </si>
  <si>
    <t>ED3.5x24</t>
  </si>
  <si>
    <t>ED3.5x20</t>
  </si>
  <si>
    <t>ED3.5x2</t>
  </si>
  <si>
    <t>ED3.5x16</t>
  </si>
  <si>
    <t>ED3.5x12</t>
  </si>
  <si>
    <t>ED3.5x10</t>
  </si>
  <si>
    <t>ED3.0x8</t>
  </si>
  <si>
    <t>ED3.0x72</t>
  </si>
  <si>
    <t>ED3.0x64</t>
  </si>
  <si>
    <t>ED3.0x60</t>
  </si>
  <si>
    <t>ED3.0x56</t>
  </si>
  <si>
    <t>ED3.0x5</t>
  </si>
  <si>
    <t>ED3.0x48</t>
  </si>
  <si>
    <t>ED3.0x40</t>
  </si>
  <si>
    <t>ED3.0x36</t>
  </si>
  <si>
    <t>ED3.0x32</t>
  </si>
  <si>
    <t>ED3.0x3</t>
  </si>
  <si>
    <t>ED3.0x28</t>
  </si>
  <si>
    <t>ED3.0x24</t>
  </si>
  <si>
    <t>ED3.0x20</t>
  </si>
  <si>
    <t>ED3.0x2</t>
  </si>
  <si>
    <t>ED3.0x18</t>
  </si>
  <si>
    <t>ED3.0x16</t>
  </si>
  <si>
    <t>ED3.0x14</t>
  </si>
  <si>
    <t>ED3.0x12</t>
  </si>
  <si>
    <t>ED3.0x10</t>
  </si>
  <si>
    <t>ED2.0x8</t>
  </si>
  <si>
    <t>ED2.0x6</t>
  </si>
  <si>
    <t>ED2.0x56</t>
  </si>
  <si>
    <t>ED2.0x48</t>
  </si>
  <si>
    <t>ED2.0x40</t>
  </si>
  <si>
    <t>ED2.0x36</t>
  </si>
  <si>
    <t>ED2.0x32</t>
  </si>
  <si>
    <t>ED2.0x28</t>
  </si>
  <si>
    <t>ED2.0x24</t>
  </si>
  <si>
    <t>ED2.0x20</t>
  </si>
  <si>
    <t>ED2.0x18</t>
  </si>
  <si>
    <t>ED2.0x16</t>
  </si>
  <si>
    <t>ED2.0x14</t>
  </si>
  <si>
    <t>ED2.0x12</t>
  </si>
  <si>
    <t>ED2.0x10</t>
  </si>
  <si>
    <t>ED1.5x8</t>
  </si>
  <si>
    <t>ED1.5x6</t>
  </si>
  <si>
    <t>ED1.5x4</t>
  </si>
  <si>
    <t>ED1.5x32</t>
  </si>
  <si>
    <t>ED1.5x28</t>
  </si>
  <si>
    <t>ED1.5x24</t>
  </si>
  <si>
    <t>ED1.5x20</t>
  </si>
  <si>
    <t>ED1.5x2</t>
  </si>
  <si>
    <t>ED1.5x18</t>
  </si>
  <si>
    <t>ED1.5x16</t>
  </si>
  <si>
    <t>ED1.5x14</t>
  </si>
  <si>
    <t>ED1.5x12</t>
  </si>
  <si>
    <t>ED1.5x10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</si>
</sst>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1" fillId="3" borderId="0" xfId="0" applyFont="1" applyFill="1"/>
    <xf numFmtId="0" fontId="1" fillId="4" borderId="1" xfId="0" applyFont="1" applyFill="1" applyBorder="1"/>
    <xf numFmtId="0" fontId="0" fillId="4" borderId="1" xfId="0" applyFill="1" applyBorder="1"/>
    <xf numFmtId="176" fontId="0" fillId="0" borderId="0" xfId="0" applyNumberFormat="1"/>
    <xf numFmtId="0" fontId="0" fillId="0" borderId="0" xfId="0" applyFill="1"/>
    <xf numFmtId="0" fontId="2" fillId="2" borderId="0" xfId="0" applyFont="1" applyFill="1"/>
    <xf numFmtId="9" fontId="0" fillId="2" borderId="0" xfId="0" applyNumberFormat="1" applyFill="1"/>
    <xf numFmtId="176" fontId="0" fillId="0" borderId="0" xfId="0" applyNumberFormat="1" applyFill="1"/>
    <xf numFmtId="0" fontId="3" fillId="2" borderId="0" xfId="0" applyFont="1" applyFill="1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haredStrings" Target="sharedStrings.xml"/><Relationship Id="rId22" Type="http://schemas.openxmlformats.org/officeDocument/2006/relationships/styles" Target="style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333375</xdr:colOff>
      <xdr:row>1</xdr:row>
      <xdr:rowOff>123825</xdr:rowOff>
    </xdr:from>
    <xdr:to>
      <xdr:col>10</xdr:col>
      <xdr:colOff>447675</xdr:colOff>
      <xdr:row>18</xdr:row>
      <xdr:rowOff>66675</xdr:rowOff>
    </xdr:to>
    <xdr:pic>
      <xdr:nvPicPr>
        <xdr:cNvPr id="2" name="图片 1" descr="C:\Users\ThinkPad\Desktop\选型类型图片\VerticalRotationWithTorque_DoorOpposingGravity.pngVerticalRotationWithTorque_DoorOpposingGravity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6790055" y="306705"/>
          <a:ext cx="2583180" cy="30518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333375</xdr:colOff>
      <xdr:row>1</xdr:row>
      <xdr:rowOff>123825</xdr:rowOff>
    </xdr:from>
    <xdr:to>
      <xdr:col>10</xdr:col>
      <xdr:colOff>447675</xdr:colOff>
      <xdr:row>18</xdr:row>
      <xdr:rowOff>66675</xdr:rowOff>
    </xdr:to>
    <xdr:pic>
      <xdr:nvPicPr>
        <xdr:cNvPr id="2" name="图片 1" descr="C:\Users\ThinkPad\Desktop\选型类型图片\VerticalRotationWithTorque_DoorAidedByGravity.pngVerticalRotationWithTorque_DoorAidedByGravity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6790055" y="306705"/>
          <a:ext cx="2583180" cy="30518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333375</xdr:colOff>
      <xdr:row>1</xdr:row>
      <xdr:rowOff>123825</xdr:rowOff>
    </xdr:from>
    <xdr:to>
      <xdr:col>10</xdr:col>
      <xdr:colOff>447675</xdr:colOff>
      <xdr:row>18</xdr:row>
      <xdr:rowOff>66675</xdr:rowOff>
    </xdr:to>
    <xdr:pic>
      <xdr:nvPicPr>
        <xdr:cNvPr id="2" name="图片 1" descr="C:\Users\ThinkPad\Desktop\选型类型图片\VerticalRotationWithTorque_LoadOpposingGravity.pngVerticalRotationWithTorque_LoadOpposingGravity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6790055" y="306705"/>
          <a:ext cx="2583180" cy="30518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333375</xdr:colOff>
      <xdr:row>1</xdr:row>
      <xdr:rowOff>123825</xdr:rowOff>
    </xdr:from>
    <xdr:to>
      <xdr:col>10</xdr:col>
      <xdr:colOff>447675</xdr:colOff>
      <xdr:row>18</xdr:row>
      <xdr:rowOff>66675</xdr:rowOff>
    </xdr:to>
    <xdr:pic>
      <xdr:nvPicPr>
        <xdr:cNvPr id="2" name="图片 1" descr="C:\Users\ThinkPad\Desktop\选型类型图片\VerticalRotationWithTorque_LoadAidedByGravity.pngVerticalRotationWithTorque_LoadAidedByGravity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6790055" y="306705"/>
          <a:ext cx="2583180" cy="30518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152400</xdr:colOff>
      <xdr:row>2</xdr:row>
      <xdr:rowOff>0</xdr:rowOff>
    </xdr:from>
    <xdr:to>
      <xdr:col>10</xdr:col>
      <xdr:colOff>266700</xdr:colOff>
      <xdr:row>18</xdr:row>
      <xdr:rowOff>114300</xdr:rowOff>
    </xdr:to>
    <xdr:pic>
      <xdr:nvPicPr>
        <xdr:cNvPr id="2" name="图片 1" descr="C:\Users\ThinkPad\Desktop\选型类型图片\HorizontalRotationWithTorque_Table.pngHorizontalRotationWithTorque_Table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6360160" y="365760"/>
          <a:ext cx="2583180" cy="30403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542925</xdr:colOff>
      <xdr:row>1</xdr:row>
      <xdr:rowOff>28575</xdr:rowOff>
    </xdr:from>
    <xdr:to>
      <xdr:col>11</xdr:col>
      <xdr:colOff>0</xdr:colOff>
      <xdr:row>17</xdr:row>
      <xdr:rowOff>142875</xdr:rowOff>
    </xdr:to>
    <xdr:pic>
      <xdr:nvPicPr>
        <xdr:cNvPr id="2" name="图片 1" descr="C:\Users\ThinkPad\Desktop\选型类型图片\HorizontalRotationWithTorque_Beam.pngHorizontalRotationWithTorque_Beam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6750685" y="211455"/>
          <a:ext cx="2543175" cy="304038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542925</xdr:colOff>
      <xdr:row>1</xdr:row>
      <xdr:rowOff>28575</xdr:rowOff>
    </xdr:from>
    <xdr:to>
      <xdr:col>11</xdr:col>
      <xdr:colOff>0</xdr:colOff>
      <xdr:row>17</xdr:row>
      <xdr:rowOff>142875</xdr:rowOff>
    </xdr:to>
    <xdr:pic>
      <xdr:nvPicPr>
        <xdr:cNvPr id="2" name="图片 1" descr="C:\Users\ThinkPad\Desktop\选型类型图片\HorizontalRotationFreeRotating_Load.pngHorizontalRotationFreeRotating_Load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6750685" y="211455"/>
          <a:ext cx="2543175" cy="30403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542925</xdr:colOff>
      <xdr:row>1</xdr:row>
      <xdr:rowOff>28575</xdr:rowOff>
    </xdr:from>
    <xdr:to>
      <xdr:col>11</xdr:col>
      <xdr:colOff>0</xdr:colOff>
      <xdr:row>17</xdr:row>
      <xdr:rowOff>142875</xdr:rowOff>
    </xdr:to>
    <xdr:pic>
      <xdr:nvPicPr>
        <xdr:cNvPr id="2" name="图片 1" descr="C:\Users\ThinkPad\Desktop\选型类型图片\FreeMovingDownAnIncline.pngFreeMovingDownAnIncline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6750685" y="211455"/>
          <a:ext cx="2543175" cy="304038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514350</xdr:colOff>
      <xdr:row>2</xdr:row>
      <xdr:rowOff>15875</xdr:rowOff>
    </xdr:from>
    <xdr:to>
      <xdr:col>11</xdr:col>
      <xdr:colOff>0</xdr:colOff>
      <xdr:row>16</xdr:row>
      <xdr:rowOff>155575</xdr:rowOff>
    </xdr:to>
    <xdr:pic>
      <xdr:nvPicPr>
        <xdr:cNvPr id="2" name="图片 1" descr="C:\Users\ThinkPad\Desktop\选型类型图片\Vertical_PropellingForceOpposingGravity.pngVertical_PropellingForceOpposingGravity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6722110" y="381635"/>
          <a:ext cx="2571750" cy="27000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514350</xdr:colOff>
      <xdr:row>2</xdr:row>
      <xdr:rowOff>15875</xdr:rowOff>
    </xdr:from>
    <xdr:to>
      <xdr:col>11</xdr:col>
      <xdr:colOff>0</xdr:colOff>
      <xdr:row>16</xdr:row>
      <xdr:rowOff>155575</xdr:rowOff>
    </xdr:to>
    <xdr:pic>
      <xdr:nvPicPr>
        <xdr:cNvPr id="2" name="图片 1" descr="C:\Users\ThinkPad\Desktop\选型类型图片\Vertical_PropellingForceAidedByGravity.pngVertical_PropellingForceAidedByGravity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6722110" y="381635"/>
          <a:ext cx="2571750" cy="27000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514350</xdr:colOff>
      <xdr:row>2</xdr:row>
      <xdr:rowOff>15875</xdr:rowOff>
    </xdr:from>
    <xdr:to>
      <xdr:col>11</xdr:col>
      <xdr:colOff>0</xdr:colOff>
      <xdr:row>16</xdr:row>
      <xdr:rowOff>155575</xdr:rowOff>
    </xdr:to>
    <xdr:pic>
      <xdr:nvPicPr>
        <xdr:cNvPr id="2" name="图片 1" descr="C:\Users\ThinkPad\Desktop\选型类型图片\Vertical_PropellingForceFromMotorAidedByGravity.pngVertical_PropellingForceFromMotorAidedByGravity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6722110" y="381635"/>
          <a:ext cx="2571750" cy="27000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514350</xdr:colOff>
      <xdr:row>2</xdr:row>
      <xdr:rowOff>15875</xdr:rowOff>
    </xdr:from>
    <xdr:to>
      <xdr:col>11</xdr:col>
      <xdr:colOff>0</xdr:colOff>
      <xdr:row>16</xdr:row>
      <xdr:rowOff>155575</xdr:rowOff>
    </xdr:to>
    <xdr:pic>
      <xdr:nvPicPr>
        <xdr:cNvPr id="2" name="图片 1" descr="C:\Users\ThinkPad\Desktop\选型类型图片\Vertical_PropellingForceFromMotorOpposingGravity.pngVertical_PropellingForceFromMotorOpposingGravity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6722110" y="381635"/>
          <a:ext cx="2571750" cy="270002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514350</xdr:colOff>
      <xdr:row>2</xdr:row>
      <xdr:rowOff>15875</xdr:rowOff>
    </xdr:from>
    <xdr:to>
      <xdr:col>11</xdr:col>
      <xdr:colOff>0</xdr:colOff>
      <xdr:row>16</xdr:row>
      <xdr:rowOff>155575</xdr:rowOff>
    </xdr:to>
    <xdr:pic>
      <xdr:nvPicPr>
        <xdr:cNvPr id="2" name="图片 1" descr="C:\Users\ThinkPad\Desktop\选型类型图片\Vertical_PropellingForceOpposingGravity.pngVertical_PropellingForceOpposingGravity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6722110" y="381635"/>
          <a:ext cx="2571750" cy="270002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514350</xdr:colOff>
      <xdr:row>2</xdr:row>
      <xdr:rowOff>15875</xdr:rowOff>
    </xdr:from>
    <xdr:to>
      <xdr:col>11</xdr:col>
      <xdr:colOff>0</xdr:colOff>
      <xdr:row>16</xdr:row>
      <xdr:rowOff>155575</xdr:rowOff>
    </xdr:to>
    <xdr:pic>
      <xdr:nvPicPr>
        <xdr:cNvPr id="2" name="图片 1" descr="C:\Users\ThinkPad\Desktop\选型类型图片\Vertical_PropellingForceAidedByGravity.pngVertical_PropellingForceAidedByGravity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6722110" y="381635"/>
          <a:ext cx="2571750" cy="270002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514350</xdr:colOff>
      <xdr:row>1</xdr:row>
      <xdr:rowOff>28575</xdr:rowOff>
    </xdr:from>
    <xdr:to>
      <xdr:col>11</xdr:col>
      <xdr:colOff>0</xdr:colOff>
      <xdr:row>17</xdr:row>
      <xdr:rowOff>142875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2110" y="211455"/>
          <a:ext cx="2571750" cy="304038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514350</xdr:colOff>
      <xdr:row>1</xdr:row>
      <xdr:rowOff>28575</xdr:rowOff>
    </xdr:from>
    <xdr:to>
      <xdr:col>11</xdr:col>
      <xdr:colOff>0</xdr:colOff>
      <xdr:row>17</xdr:row>
      <xdr:rowOff>142875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2110" y="211455"/>
          <a:ext cx="2571750" cy="304038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514350</xdr:colOff>
      <xdr:row>1</xdr:row>
      <xdr:rowOff>28575</xdr:rowOff>
    </xdr:from>
    <xdr:to>
      <xdr:col>11</xdr:col>
      <xdr:colOff>0</xdr:colOff>
      <xdr:row>17</xdr:row>
      <xdr:rowOff>142875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2110" y="211455"/>
          <a:ext cx="2571750" cy="304038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514350</xdr:colOff>
      <xdr:row>2</xdr:row>
      <xdr:rowOff>47625</xdr:rowOff>
    </xdr:from>
    <xdr:to>
      <xdr:col>11</xdr:col>
      <xdr:colOff>0</xdr:colOff>
      <xdr:row>18</xdr:row>
      <xdr:rowOff>161925</xdr:rowOff>
    </xdr:to>
    <xdr:pic>
      <xdr:nvPicPr>
        <xdr:cNvPr id="2" name="图片 1" descr="C:\Users\ThinkPad\Desktop\选型类型图片\Horizontal_MotorDriven.pngHorizontal_MotorDriven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6722110" y="413385"/>
          <a:ext cx="2571750" cy="304038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504825</xdr:colOff>
      <xdr:row>2</xdr:row>
      <xdr:rowOff>142875</xdr:rowOff>
    </xdr:from>
    <xdr:to>
      <xdr:col>11</xdr:col>
      <xdr:colOff>0</xdr:colOff>
      <xdr:row>19</xdr:row>
      <xdr:rowOff>85725</xdr:rowOff>
    </xdr:to>
    <xdr:pic>
      <xdr:nvPicPr>
        <xdr:cNvPr id="2" name="图片 1" descr="C:\Users\ThinkPad\Desktop\选型类型图片\Horizontal_HorizontalTranslation.pngHorizontal_HorizontalTranslation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6712585" y="508635"/>
          <a:ext cx="2581275" cy="30518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F19"/>
  <sheetViews>
    <sheetView workbookViewId="0">
      <selection activeCell="E28" sqref="E28"/>
    </sheetView>
  </sheetViews>
  <sheetFormatPr defaultColWidth="9" defaultRowHeight="14.4" outlineLevelCol="5"/>
  <cols>
    <col min="1" max="1" width="23.1296296296296" customWidth="1"/>
    <col min="2" max="2" width="12.5" customWidth="1"/>
    <col min="3" max="3" width="12.2592592592593" customWidth="1"/>
    <col min="4" max="4" width="12.6296296296296"/>
    <col min="5" max="5" width="24.6296296296296" customWidth="1"/>
  </cols>
  <sheetData>
    <row r="1" spans="1:3">
      <c r="A1" s="6" t="s">
        <v>0</v>
      </c>
      <c r="B1" s="6" t="s">
        <v>1</v>
      </c>
      <c r="C1" s="6" t="s">
        <v>2</v>
      </c>
    </row>
    <row r="2" spans="1:2">
      <c r="A2" t="s">
        <v>3</v>
      </c>
      <c r="B2">
        <v>2</v>
      </c>
    </row>
    <row r="3" spans="1:3">
      <c r="A3" t="s">
        <v>4</v>
      </c>
      <c r="B3">
        <v>2</v>
      </c>
      <c r="C3" t="s">
        <v>5</v>
      </c>
    </row>
    <row r="4" spans="1:3">
      <c r="A4" t="s">
        <v>6</v>
      </c>
      <c r="B4">
        <v>245</v>
      </c>
      <c r="C4" t="s">
        <v>7</v>
      </c>
    </row>
    <row r="5" spans="1:3">
      <c r="A5" t="s">
        <v>8</v>
      </c>
      <c r="B5">
        <v>0.6</v>
      </c>
      <c r="C5" t="s">
        <v>9</v>
      </c>
    </row>
    <row r="6" spans="1:3">
      <c r="A6" t="s">
        <v>10</v>
      </c>
      <c r="B6">
        <v>0.06</v>
      </c>
      <c r="C6" t="s">
        <v>9</v>
      </c>
    </row>
    <row r="7" spans="1:3">
      <c r="A7" s="15" t="s">
        <v>11</v>
      </c>
      <c r="B7">
        <v>3.5</v>
      </c>
      <c r="C7" t="s">
        <v>12</v>
      </c>
    </row>
    <row r="8" spans="1:3">
      <c r="A8" s="15" t="s">
        <v>13</v>
      </c>
      <c r="B8">
        <v>30</v>
      </c>
      <c r="C8" t="s">
        <v>14</v>
      </c>
    </row>
    <row r="9" spans="1:3">
      <c r="A9" s="15" t="s">
        <v>15</v>
      </c>
      <c r="B9">
        <v>0.5</v>
      </c>
      <c r="C9" t="s">
        <v>9</v>
      </c>
    </row>
    <row r="10" spans="1:3">
      <c r="A10" t="s">
        <v>16</v>
      </c>
      <c r="B10">
        <v>20</v>
      </c>
      <c r="C10" t="s">
        <v>17</v>
      </c>
    </row>
    <row r="11" spans="1:3">
      <c r="A11" t="s">
        <v>18</v>
      </c>
      <c r="B11">
        <v>150</v>
      </c>
      <c r="C11" t="s">
        <v>17</v>
      </c>
    </row>
    <row r="12" spans="1:6">
      <c r="A12" s="6" t="s">
        <v>19</v>
      </c>
      <c r="B12" s="6" t="s">
        <v>20</v>
      </c>
      <c r="C12" s="6" t="s">
        <v>2</v>
      </c>
      <c r="D12" s="6" t="s">
        <v>21</v>
      </c>
      <c r="E12" s="7" t="s">
        <v>22</v>
      </c>
      <c r="F12" s="8">
        <v>0.05</v>
      </c>
    </row>
    <row r="13" spans="1:3">
      <c r="A13" t="s">
        <v>23</v>
      </c>
      <c r="B13" s="9">
        <f>0.5*(B4*POWER((0.289*SQRT((4*B5*B5)+(B6*B6))),2))*B7*B7/B2</f>
        <v>90.465865111125</v>
      </c>
      <c r="C13" t="s">
        <v>14</v>
      </c>
    </row>
    <row r="14" spans="1:6">
      <c r="A14" s="2" t="s">
        <v>24</v>
      </c>
      <c r="B14" s="9">
        <f>((B8-(9.8*B4*(0.289*SQRT((4*B5*B5)+(B6*B6)))*SIN((B11-B10)*3.14/180)))/B9)*F12/B2</f>
        <v>-30.4636297181787</v>
      </c>
      <c r="C14" t="s">
        <v>14</v>
      </c>
      <c r="E14" t="s">
        <v>25</v>
      </c>
      <c r="F14" t="s">
        <v>26</v>
      </c>
    </row>
    <row r="15" spans="1:4">
      <c r="A15" s="2" t="s">
        <v>27</v>
      </c>
      <c r="B15" s="9">
        <f>B13+B14</f>
        <v>60.0022353929463</v>
      </c>
      <c r="C15" t="s">
        <v>28</v>
      </c>
      <c r="D15" s="2" t="s">
        <v>26</v>
      </c>
    </row>
    <row r="16" spans="1:4">
      <c r="A16" s="2" t="s">
        <v>29</v>
      </c>
      <c r="B16" s="9">
        <f>B15*B3</f>
        <v>120.004470785893</v>
      </c>
      <c r="C16" t="s">
        <v>30</v>
      </c>
      <c r="D16" s="2"/>
    </row>
    <row r="17" spans="1:4">
      <c r="A17" t="s">
        <v>31</v>
      </c>
      <c r="B17" s="9">
        <f>((B8-(9.8*B4*(0.289*SQRT((4*B5*B5)+(B6*B6)))*SIN((B11-B10)*3.14/180)))/B9)/B2</f>
        <v>-609.272594363573</v>
      </c>
      <c r="C17" t="s">
        <v>32</v>
      </c>
      <c r="D17" s="2"/>
    </row>
    <row r="18" spans="1:3">
      <c r="A18" s="2" t="s">
        <v>33</v>
      </c>
      <c r="B18" s="9">
        <f>B19*B19/(2*F12)/9.8</f>
        <v>3.125</v>
      </c>
      <c r="C18" t="s">
        <v>34</v>
      </c>
    </row>
    <row r="19" spans="1:3">
      <c r="A19" t="s">
        <v>35</v>
      </c>
      <c r="B19" s="9">
        <f>B9*B7</f>
        <v>1.75</v>
      </c>
      <c r="C19" t="s">
        <v>36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F19"/>
  <sheetViews>
    <sheetView workbookViewId="0">
      <selection activeCell="E28" sqref="E28"/>
    </sheetView>
  </sheetViews>
  <sheetFormatPr defaultColWidth="9" defaultRowHeight="14.4" outlineLevelCol="5"/>
  <cols>
    <col min="1" max="1" width="23.1296296296296" customWidth="1"/>
    <col min="2" max="2" width="12.5" customWidth="1"/>
    <col min="3" max="3" width="12.2592592592593" customWidth="1"/>
    <col min="4" max="4" width="12.6296296296296"/>
    <col min="5" max="5" width="24.6296296296296" customWidth="1"/>
  </cols>
  <sheetData>
    <row r="1" spans="1:3">
      <c r="A1" s="6" t="s">
        <v>0</v>
      </c>
      <c r="B1" s="6" t="s">
        <v>1</v>
      </c>
      <c r="C1" s="6" t="s">
        <v>2</v>
      </c>
    </row>
    <row r="2" spans="1:2">
      <c r="A2" t="s">
        <v>3</v>
      </c>
      <c r="B2">
        <v>2</v>
      </c>
    </row>
    <row r="3" spans="1:3">
      <c r="A3" t="s">
        <v>4</v>
      </c>
      <c r="B3">
        <v>2</v>
      </c>
      <c r="C3" t="s">
        <v>5</v>
      </c>
    </row>
    <row r="4" spans="1:3">
      <c r="A4" t="s">
        <v>6</v>
      </c>
      <c r="B4">
        <v>245</v>
      </c>
      <c r="C4" t="s">
        <v>7</v>
      </c>
    </row>
    <row r="5" spans="1:3">
      <c r="A5" t="s">
        <v>8</v>
      </c>
      <c r="B5">
        <v>0.6</v>
      </c>
      <c r="C5" t="s">
        <v>9</v>
      </c>
    </row>
    <row r="6" spans="1:3">
      <c r="A6" t="s">
        <v>10</v>
      </c>
      <c r="B6">
        <v>0.06</v>
      </c>
      <c r="C6" t="s">
        <v>9</v>
      </c>
    </row>
    <row r="7" spans="1:3">
      <c r="A7" s="15" t="s">
        <v>11</v>
      </c>
      <c r="B7">
        <v>3.5</v>
      </c>
      <c r="C7" t="s">
        <v>12</v>
      </c>
    </row>
    <row r="8" spans="1:3">
      <c r="A8" s="15" t="s">
        <v>13</v>
      </c>
      <c r="B8">
        <v>30</v>
      </c>
      <c r="C8" t="s">
        <v>14</v>
      </c>
    </row>
    <row r="9" spans="1:3">
      <c r="A9" s="15" t="s">
        <v>15</v>
      </c>
      <c r="B9">
        <v>0.5</v>
      </c>
      <c r="C9" t="s">
        <v>9</v>
      </c>
    </row>
    <row r="10" spans="1:3">
      <c r="A10" t="s">
        <v>16</v>
      </c>
      <c r="B10">
        <v>20</v>
      </c>
      <c r="C10" t="s">
        <v>17</v>
      </c>
    </row>
    <row r="11" spans="1:3">
      <c r="A11" t="s">
        <v>18</v>
      </c>
      <c r="B11">
        <v>50</v>
      </c>
      <c r="C11" t="s">
        <v>17</v>
      </c>
    </row>
    <row r="12" spans="1:6">
      <c r="A12" s="6" t="s">
        <v>19</v>
      </c>
      <c r="B12" s="6" t="s">
        <v>20</v>
      </c>
      <c r="C12" s="6" t="s">
        <v>2</v>
      </c>
      <c r="D12" s="6" t="s">
        <v>21</v>
      </c>
      <c r="E12" s="7" t="s">
        <v>22</v>
      </c>
      <c r="F12" s="8">
        <v>0.05</v>
      </c>
    </row>
    <row r="13" spans="1:3">
      <c r="A13" t="s">
        <v>23</v>
      </c>
      <c r="B13" s="9">
        <f>0.5*(B4*POWER((0.289*SQRT((4*B5*B5)+(B6*B6))),2))*B7*B7/B2</f>
        <v>90.465865111125</v>
      </c>
      <c r="C13" t="s">
        <v>14</v>
      </c>
    </row>
    <row r="14" spans="1:6">
      <c r="A14" s="2" t="s">
        <v>24</v>
      </c>
      <c r="B14" s="9">
        <f>((B8+(9.8*B4*(0.289*SQRT((4*B5*B5)+(B6*B6)))*SIN((B10+B11)*3.14/180)))/B9)*F12/B2</f>
        <v>40.6625770827608</v>
      </c>
      <c r="C14" t="s">
        <v>14</v>
      </c>
      <c r="E14" t="s">
        <v>25</v>
      </c>
      <c r="F14" t="s">
        <v>26</v>
      </c>
    </row>
    <row r="15" spans="1:4">
      <c r="A15" s="2" t="s">
        <v>27</v>
      </c>
      <c r="B15" s="9">
        <f>B13+B14</f>
        <v>131.128442193886</v>
      </c>
      <c r="C15" t="s">
        <v>28</v>
      </c>
      <c r="D15" s="2" t="s">
        <v>26</v>
      </c>
    </row>
    <row r="16" spans="1:4">
      <c r="A16" s="2" t="s">
        <v>29</v>
      </c>
      <c r="B16" s="9">
        <f>B15*B3</f>
        <v>262.256884387772</v>
      </c>
      <c r="C16" t="s">
        <v>30</v>
      </c>
      <c r="D16" s="2"/>
    </row>
    <row r="17" spans="1:4">
      <c r="A17" t="s">
        <v>31</v>
      </c>
      <c r="B17" s="9">
        <f>((B8+(9.8*B4*(0.289*SQRT((4*B5*B5)+(B6*B6)))*SIN((B10+B11)*3.14/180)))/B9)/B2</f>
        <v>813.251541655217</v>
      </c>
      <c r="C17" t="s">
        <v>32</v>
      </c>
      <c r="D17" s="2"/>
    </row>
    <row r="18" spans="1:3">
      <c r="A18" s="2" t="s">
        <v>33</v>
      </c>
      <c r="B18" s="9">
        <f>B19*B19/(2*F12)/9.8</f>
        <v>3.125</v>
      </c>
      <c r="C18" t="s">
        <v>34</v>
      </c>
    </row>
    <row r="19" spans="1:3">
      <c r="A19" t="s">
        <v>35</v>
      </c>
      <c r="B19" s="9">
        <f>B9*B7</f>
        <v>1.75</v>
      </c>
      <c r="C19" t="s">
        <v>36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F18"/>
  <sheetViews>
    <sheetView workbookViewId="0">
      <selection activeCell="E28" sqref="E28"/>
    </sheetView>
  </sheetViews>
  <sheetFormatPr defaultColWidth="9" defaultRowHeight="14.4" outlineLevelCol="5"/>
  <cols>
    <col min="1" max="1" width="23.1296296296296" customWidth="1"/>
    <col min="2" max="2" width="12.5" customWidth="1"/>
    <col min="3" max="3" width="12.2592592592593" customWidth="1"/>
    <col min="4" max="4" width="12.6296296296296"/>
    <col min="5" max="5" width="24.6296296296296" customWidth="1"/>
  </cols>
  <sheetData>
    <row r="1" spans="1:3">
      <c r="A1" s="6" t="s">
        <v>0</v>
      </c>
      <c r="B1" s="6" t="s">
        <v>1</v>
      </c>
      <c r="C1" s="6" t="s">
        <v>2</v>
      </c>
    </row>
    <row r="2" spans="1:2">
      <c r="A2" t="s">
        <v>3</v>
      </c>
      <c r="B2">
        <v>2</v>
      </c>
    </row>
    <row r="3" spans="1:3">
      <c r="A3" t="s">
        <v>4</v>
      </c>
      <c r="B3">
        <v>5</v>
      </c>
      <c r="C3" t="s">
        <v>5</v>
      </c>
    </row>
    <row r="4" spans="1:3">
      <c r="A4" t="s">
        <v>37</v>
      </c>
      <c r="B4">
        <v>30</v>
      </c>
      <c r="C4" t="s">
        <v>7</v>
      </c>
    </row>
    <row r="5" spans="1:3">
      <c r="A5" t="s">
        <v>38</v>
      </c>
      <c r="B5">
        <v>0.8</v>
      </c>
      <c r="C5" t="s">
        <v>9</v>
      </c>
    </row>
    <row r="6" spans="1:3">
      <c r="A6" s="15" t="s">
        <v>11</v>
      </c>
      <c r="B6">
        <v>1.9</v>
      </c>
      <c r="C6" t="s">
        <v>12</v>
      </c>
    </row>
    <row r="7" spans="1:3">
      <c r="A7" s="15" t="s">
        <v>13</v>
      </c>
      <c r="B7">
        <v>500</v>
      </c>
      <c r="C7" t="s">
        <v>14</v>
      </c>
    </row>
    <row r="8" spans="1:3">
      <c r="A8" s="15" t="s">
        <v>15</v>
      </c>
      <c r="B8">
        <v>0.6</v>
      </c>
      <c r="C8" t="s">
        <v>9</v>
      </c>
    </row>
    <row r="9" spans="1:3">
      <c r="A9" t="s">
        <v>16</v>
      </c>
      <c r="B9">
        <v>40</v>
      </c>
      <c r="C9" t="s">
        <v>17</v>
      </c>
    </row>
    <row r="10" spans="1:3">
      <c r="A10" t="s">
        <v>18</v>
      </c>
      <c r="B10">
        <v>155</v>
      </c>
      <c r="C10" t="s">
        <v>17</v>
      </c>
    </row>
    <row r="11" spans="1:6">
      <c r="A11" s="6" t="s">
        <v>19</v>
      </c>
      <c r="B11" s="6" t="s">
        <v>20</v>
      </c>
      <c r="C11" s="6" t="s">
        <v>2</v>
      </c>
      <c r="D11" s="6" t="s">
        <v>21</v>
      </c>
      <c r="E11" s="7" t="s">
        <v>22</v>
      </c>
      <c r="F11" s="8">
        <v>0.025</v>
      </c>
    </row>
    <row r="12" spans="1:3">
      <c r="A12" t="s">
        <v>23</v>
      </c>
      <c r="B12" s="9">
        <f>0.5*(B4*B5*B5)*B6*B6/B2</f>
        <v>17.328</v>
      </c>
      <c r="C12" t="s">
        <v>14</v>
      </c>
    </row>
    <row r="13" spans="1:6">
      <c r="A13" s="2" t="s">
        <v>24</v>
      </c>
      <c r="B13" s="9">
        <f>((B7-(9.8*B4*B5*SIN((B10-B9)*3.14/180)))/B8)*F11/B2</f>
        <v>5.97365368113532</v>
      </c>
      <c r="C13" t="s">
        <v>14</v>
      </c>
      <c r="E13" t="s">
        <v>25</v>
      </c>
      <c r="F13" t="s">
        <v>26</v>
      </c>
    </row>
    <row r="14" spans="1:4">
      <c r="A14" s="2" t="s">
        <v>27</v>
      </c>
      <c r="B14" s="9">
        <f>B12+B13</f>
        <v>23.3016536811353</v>
      </c>
      <c r="C14" t="s">
        <v>28</v>
      </c>
      <c r="D14" s="2" t="s">
        <v>26</v>
      </c>
    </row>
    <row r="15" spans="1:4">
      <c r="A15" s="2" t="s">
        <v>29</v>
      </c>
      <c r="B15" s="9">
        <f>B14*B3</f>
        <v>116.508268405677</v>
      </c>
      <c r="C15" t="s">
        <v>30</v>
      </c>
      <c r="D15" s="2"/>
    </row>
    <row r="16" spans="1:4">
      <c r="A16" t="s">
        <v>31</v>
      </c>
      <c r="B16" s="9">
        <f>((B7-(9.8*B4*B5*SIN((B10-B9)*3.14/180)))/B8)/B2</f>
        <v>238.946147245413</v>
      </c>
      <c r="C16" t="s">
        <v>32</v>
      </c>
      <c r="D16" s="2"/>
    </row>
    <row r="17" spans="1:3">
      <c r="A17" s="2" t="s">
        <v>33</v>
      </c>
      <c r="B17" s="9">
        <f>B18*B18/(2*F11)/9.8</f>
        <v>2.65224489795918</v>
      </c>
      <c r="C17" t="s">
        <v>34</v>
      </c>
    </row>
    <row r="18" spans="1:3">
      <c r="A18" t="s">
        <v>35</v>
      </c>
      <c r="B18" s="9">
        <f>B8*B6</f>
        <v>1.14</v>
      </c>
      <c r="C18" t="s">
        <v>36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F18"/>
  <sheetViews>
    <sheetView workbookViewId="0">
      <selection activeCell="E28" sqref="E28"/>
    </sheetView>
  </sheetViews>
  <sheetFormatPr defaultColWidth="9" defaultRowHeight="14.4" outlineLevelCol="5"/>
  <cols>
    <col min="1" max="1" width="23.1296296296296" customWidth="1"/>
    <col min="2" max="2" width="12.5" customWidth="1"/>
    <col min="3" max="3" width="12.2592592592593" customWidth="1"/>
    <col min="4" max="4" width="12.6296296296296"/>
    <col min="5" max="5" width="24.6296296296296" customWidth="1"/>
  </cols>
  <sheetData>
    <row r="1" spans="1:3">
      <c r="A1" s="6" t="s">
        <v>0</v>
      </c>
      <c r="B1" s="6" t="s">
        <v>1</v>
      </c>
      <c r="C1" s="6" t="s">
        <v>2</v>
      </c>
    </row>
    <row r="2" spans="1:2">
      <c r="A2" t="s">
        <v>3</v>
      </c>
      <c r="B2">
        <v>2</v>
      </c>
    </row>
    <row r="3" spans="1:3">
      <c r="A3" t="s">
        <v>4</v>
      </c>
      <c r="B3">
        <v>2</v>
      </c>
      <c r="C3" t="s">
        <v>5</v>
      </c>
    </row>
    <row r="4" spans="1:3">
      <c r="A4" t="s">
        <v>37</v>
      </c>
      <c r="B4">
        <v>55</v>
      </c>
      <c r="C4" t="s">
        <v>7</v>
      </c>
    </row>
    <row r="5" spans="1:3">
      <c r="A5" t="s">
        <v>38</v>
      </c>
      <c r="B5">
        <v>0.5</v>
      </c>
      <c r="C5" t="s">
        <v>9</v>
      </c>
    </row>
    <row r="6" spans="1:3">
      <c r="A6" s="15" t="s">
        <v>11</v>
      </c>
      <c r="B6">
        <v>2</v>
      </c>
      <c r="C6" t="s">
        <v>12</v>
      </c>
    </row>
    <row r="7" spans="1:3">
      <c r="A7" s="15" t="s">
        <v>13</v>
      </c>
      <c r="B7">
        <v>350</v>
      </c>
      <c r="C7" t="s">
        <v>14</v>
      </c>
    </row>
    <row r="8" spans="1:3">
      <c r="A8" s="15" t="s">
        <v>15</v>
      </c>
      <c r="B8">
        <v>0.4</v>
      </c>
      <c r="C8" t="s">
        <v>9</v>
      </c>
    </row>
    <row r="9" spans="1:3">
      <c r="A9" t="s">
        <v>16</v>
      </c>
      <c r="B9">
        <v>30</v>
      </c>
      <c r="C9" t="s">
        <v>17</v>
      </c>
    </row>
    <row r="10" spans="1:3">
      <c r="A10" t="s">
        <v>18</v>
      </c>
      <c r="B10">
        <v>60</v>
      </c>
      <c r="C10" t="s">
        <v>17</v>
      </c>
    </row>
    <row r="11" spans="1:6">
      <c r="A11" s="6" t="s">
        <v>19</v>
      </c>
      <c r="B11" s="6" t="s">
        <v>20</v>
      </c>
      <c r="C11" s="6" t="s">
        <v>2</v>
      </c>
      <c r="D11" s="6" t="s">
        <v>21</v>
      </c>
      <c r="E11" s="7" t="s">
        <v>22</v>
      </c>
      <c r="F11" s="8">
        <v>0.025</v>
      </c>
    </row>
    <row r="12" spans="1:3">
      <c r="A12" t="s">
        <v>23</v>
      </c>
      <c r="B12" s="9">
        <f>0.5*(B4*B5*B5)*B6*B6/B2</f>
        <v>13.75</v>
      </c>
      <c r="C12" t="s">
        <v>14</v>
      </c>
    </row>
    <row r="13" spans="1:6">
      <c r="A13" s="2" t="s">
        <v>24</v>
      </c>
      <c r="B13" s="9">
        <f>((B7+(9.8*B4*B5*SIN((B9+B10)*3.14/180)))/B8)*F11/B2</f>
        <v>19.3593723296915</v>
      </c>
      <c r="C13" t="s">
        <v>14</v>
      </c>
      <c r="E13" t="s">
        <v>25</v>
      </c>
      <c r="F13" t="s">
        <v>26</v>
      </c>
    </row>
    <row r="14" spans="1:4">
      <c r="A14" s="2" t="s">
        <v>27</v>
      </c>
      <c r="B14" s="9">
        <f>B12+B13</f>
        <v>33.1093723296915</v>
      </c>
      <c r="C14" t="s">
        <v>28</v>
      </c>
      <c r="D14" s="2" t="s">
        <v>26</v>
      </c>
    </row>
    <row r="15" spans="1:4">
      <c r="A15" s="2" t="s">
        <v>29</v>
      </c>
      <c r="B15" s="9">
        <f>B14*B3</f>
        <v>66.2187446593831</v>
      </c>
      <c r="C15" t="s">
        <v>30</v>
      </c>
      <c r="D15" s="2"/>
    </row>
    <row r="16" spans="1:4">
      <c r="A16" t="s">
        <v>31</v>
      </c>
      <c r="B16" s="9">
        <f>((B7+(9.8*B4*B5*SIN((B9+B10)*3.14/180)))/B8)/B2</f>
        <v>774.374893187662</v>
      </c>
      <c r="C16" t="s">
        <v>32</v>
      </c>
      <c r="D16" s="2"/>
    </row>
    <row r="17" spans="1:3">
      <c r="A17" s="2" t="s">
        <v>33</v>
      </c>
      <c r="B17" s="9">
        <f>B18*B18/(2*F11)/9.8</f>
        <v>1.30612244897959</v>
      </c>
      <c r="C17" t="s">
        <v>34</v>
      </c>
    </row>
    <row r="18" spans="1:3">
      <c r="A18" t="s">
        <v>35</v>
      </c>
      <c r="B18" s="9">
        <f>B8*B6</f>
        <v>0.8</v>
      </c>
      <c r="C18" t="s">
        <v>36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5"/>
  </sheetPr>
  <dimension ref="A1:F18"/>
  <sheetViews>
    <sheetView workbookViewId="0">
      <selection activeCell="E28" sqref="E28"/>
    </sheetView>
  </sheetViews>
  <sheetFormatPr defaultColWidth="9" defaultRowHeight="14.4" outlineLevelCol="5"/>
  <cols>
    <col min="1" max="1" width="23.1296296296296" customWidth="1"/>
    <col min="2" max="2" width="12.5" customWidth="1"/>
    <col min="3" max="3" width="12.2592592592593" customWidth="1"/>
    <col min="5" max="5" width="24.6296296296296" customWidth="1"/>
  </cols>
  <sheetData>
    <row r="1" spans="1:3">
      <c r="A1" s="6" t="s">
        <v>0</v>
      </c>
      <c r="B1" s="6" t="s">
        <v>1</v>
      </c>
      <c r="C1" s="6" t="s">
        <v>2</v>
      </c>
    </row>
    <row r="2" spans="1:2">
      <c r="A2" t="s">
        <v>3</v>
      </c>
      <c r="B2">
        <v>2</v>
      </c>
    </row>
    <row r="3" spans="1:3">
      <c r="A3" t="s">
        <v>4</v>
      </c>
      <c r="B3">
        <v>1</v>
      </c>
      <c r="C3" t="s">
        <v>5</v>
      </c>
    </row>
    <row r="4" spans="1:3">
      <c r="A4" t="s">
        <v>39</v>
      </c>
      <c r="B4">
        <v>200</v>
      </c>
      <c r="C4" t="s">
        <v>7</v>
      </c>
    </row>
    <row r="5" spans="1:3">
      <c r="A5" t="s">
        <v>40</v>
      </c>
      <c r="B5">
        <v>50</v>
      </c>
      <c r="C5" t="s">
        <v>7</v>
      </c>
    </row>
    <row r="6" spans="1:3">
      <c r="A6" t="s">
        <v>41</v>
      </c>
      <c r="B6">
        <v>0.2</v>
      </c>
      <c r="C6" t="s">
        <v>9</v>
      </c>
    </row>
    <row r="7" spans="1:3">
      <c r="A7" s="15" t="s">
        <v>42</v>
      </c>
      <c r="B7">
        <v>0.5</v>
      </c>
      <c r="C7" t="s">
        <v>9</v>
      </c>
    </row>
    <row r="8" spans="1:3">
      <c r="A8" s="15" t="s">
        <v>11</v>
      </c>
      <c r="B8">
        <v>1.04</v>
      </c>
      <c r="C8" t="s">
        <v>12</v>
      </c>
    </row>
    <row r="9" spans="1:3">
      <c r="A9" s="15" t="s">
        <v>13</v>
      </c>
      <c r="B9">
        <v>15</v>
      </c>
      <c r="C9" t="s">
        <v>14</v>
      </c>
    </row>
    <row r="10" spans="1:3">
      <c r="A10" s="15" t="s">
        <v>15</v>
      </c>
      <c r="B10">
        <v>0.225</v>
      </c>
      <c r="C10" t="s">
        <v>9</v>
      </c>
    </row>
    <row r="11" spans="1:6">
      <c r="A11" s="6" t="s">
        <v>19</v>
      </c>
      <c r="B11" s="6" t="s">
        <v>20</v>
      </c>
      <c r="C11" s="6" t="s">
        <v>2</v>
      </c>
      <c r="D11" s="6" t="s">
        <v>21</v>
      </c>
      <c r="E11" s="7" t="s">
        <v>22</v>
      </c>
      <c r="F11" s="8">
        <v>0.016</v>
      </c>
    </row>
    <row r="12" spans="1:3">
      <c r="A12" t="s">
        <v>23</v>
      </c>
      <c r="B12" s="9">
        <f>((POWER(0.707*(B7/2),2)*B4)+(B5*B6*B6))*0.5*B8/B2</f>
        <v>2.14450925</v>
      </c>
      <c r="C12" t="s">
        <v>14</v>
      </c>
    </row>
    <row r="13" spans="1:6">
      <c r="A13" s="2" t="s">
        <v>24</v>
      </c>
      <c r="B13" s="9">
        <f>(B9/B10)/B2*F11</f>
        <v>0.533333333333333</v>
      </c>
      <c r="C13" t="s">
        <v>14</v>
      </c>
      <c r="E13" t="s">
        <v>25</v>
      </c>
      <c r="F13" t="s">
        <v>26</v>
      </c>
    </row>
    <row r="14" spans="1:4">
      <c r="A14" s="2" t="s">
        <v>27</v>
      </c>
      <c r="B14" s="9">
        <f>B12+B13</f>
        <v>2.67784258333333</v>
      </c>
      <c r="C14" t="s">
        <v>28</v>
      </c>
      <c r="D14" s="2" t="s">
        <v>26</v>
      </c>
    </row>
    <row r="15" spans="1:4">
      <c r="A15" s="2" t="s">
        <v>29</v>
      </c>
      <c r="B15" s="9">
        <f>B14*B3</f>
        <v>2.67784258333333</v>
      </c>
      <c r="C15" t="s">
        <v>30</v>
      </c>
      <c r="D15" s="2"/>
    </row>
    <row r="16" spans="1:4">
      <c r="A16" t="s">
        <v>31</v>
      </c>
      <c r="B16" s="9">
        <f>(B9/B10)/B2</f>
        <v>33.3333333333333</v>
      </c>
      <c r="C16" t="s">
        <v>32</v>
      </c>
      <c r="D16" s="2"/>
    </row>
    <row r="17" spans="1:3">
      <c r="A17" s="2" t="s">
        <v>33</v>
      </c>
      <c r="B17" s="9">
        <f>B18*B18/(2*F11)/9.8</f>
        <v>0.174604591836735</v>
      </c>
      <c r="C17" t="s">
        <v>34</v>
      </c>
    </row>
    <row r="18" spans="1:3">
      <c r="A18" t="s">
        <v>35</v>
      </c>
      <c r="B18" s="9">
        <f>B10*B8</f>
        <v>0.234</v>
      </c>
      <c r="C18" t="s">
        <v>36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5"/>
  </sheetPr>
  <dimension ref="A1:F18"/>
  <sheetViews>
    <sheetView workbookViewId="0">
      <selection activeCell="E28" sqref="E28"/>
    </sheetView>
  </sheetViews>
  <sheetFormatPr defaultColWidth="9" defaultRowHeight="14.4" outlineLevelCol="5"/>
  <cols>
    <col min="1" max="1" width="23.1296296296296" customWidth="1"/>
    <col min="2" max="2" width="12.5" customWidth="1"/>
    <col min="3" max="3" width="12.2592592592593" customWidth="1"/>
    <col min="5" max="5" width="24.6296296296296" customWidth="1"/>
  </cols>
  <sheetData>
    <row r="1" spans="1:3">
      <c r="A1" s="6" t="s">
        <v>0</v>
      </c>
      <c r="B1" s="6" t="s">
        <v>1</v>
      </c>
      <c r="C1" s="6" t="s">
        <v>2</v>
      </c>
    </row>
    <row r="2" spans="1:2">
      <c r="A2" t="s">
        <v>3</v>
      </c>
      <c r="B2">
        <v>2</v>
      </c>
    </row>
    <row r="3" spans="1:3">
      <c r="A3" t="s">
        <v>4</v>
      </c>
      <c r="B3">
        <v>250</v>
      </c>
      <c r="C3" t="s">
        <v>5</v>
      </c>
    </row>
    <row r="4" spans="1:3">
      <c r="A4" t="s">
        <v>43</v>
      </c>
      <c r="B4">
        <v>40</v>
      </c>
      <c r="C4" t="s">
        <v>7</v>
      </c>
    </row>
    <row r="5" spans="1:3">
      <c r="A5" t="s">
        <v>44</v>
      </c>
      <c r="B5">
        <v>1.2</v>
      </c>
      <c r="C5" t="s">
        <v>9</v>
      </c>
    </row>
    <row r="6" spans="1:3">
      <c r="A6" s="15" t="s">
        <v>45</v>
      </c>
      <c r="B6">
        <v>0.2</v>
      </c>
      <c r="C6" t="s">
        <v>9</v>
      </c>
    </row>
    <row r="7" spans="1:3">
      <c r="A7" s="15" t="s">
        <v>11</v>
      </c>
      <c r="B7">
        <v>1.5</v>
      </c>
      <c r="C7" t="s">
        <v>12</v>
      </c>
    </row>
    <row r="8" spans="1:3">
      <c r="A8" s="15" t="s">
        <v>13</v>
      </c>
      <c r="B8">
        <v>15</v>
      </c>
      <c r="C8" t="s">
        <v>14</v>
      </c>
    </row>
    <row r="9" spans="1:3">
      <c r="A9" s="15" t="s">
        <v>15</v>
      </c>
      <c r="B9">
        <v>0.5</v>
      </c>
      <c r="C9" t="s">
        <v>9</v>
      </c>
    </row>
    <row r="11" spans="1:6">
      <c r="A11" s="6" t="s">
        <v>19</v>
      </c>
      <c r="B11" s="6" t="s">
        <v>20</v>
      </c>
      <c r="C11" s="6" t="s">
        <v>2</v>
      </c>
      <c r="D11" s="6" t="s">
        <v>21</v>
      </c>
      <c r="E11" s="7" t="s">
        <v>22</v>
      </c>
      <c r="F11" s="8">
        <v>0.025</v>
      </c>
    </row>
    <row r="12" spans="1:3">
      <c r="A12" t="s">
        <v>23</v>
      </c>
      <c r="B12" s="9">
        <f>POWER((0.289*SQRT((4*B5*B5)+(B6*B6))),2)*B4*0.5*B7*B7/B2</f>
        <v>10.8994905</v>
      </c>
      <c r="C12" t="s">
        <v>14</v>
      </c>
    </row>
    <row r="13" spans="1:6">
      <c r="A13" s="2" t="s">
        <v>24</v>
      </c>
      <c r="B13" s="9">
        <f>(B8/B9)*F11/B2</f>
        <v>0.375</v>
      </c>
      <c r="C13" t="s">
        <v>14</v>
      </c>
      <c r="E13" t="s">
        <v>25</v>
      </c>
      <c r="F13" t="s">
        <v>26</v>
      </c>
    </row>
    <row r="14" spans="1:4">
      <c r="A14" s="2" t="s">
        <v>27</v>
      </c>
      <c r="B14" s="9">
        <f>B12+B13</f>
        <v>11.2744905</v>
      </c>
      <c r="C14" t="s">
        <v>28</v>
      </c>
      <c r="D14" s="2" t="s">
        <v>26</v>
      </c>
    </row>
    <row r="15" spans="1:4">
      <c r="A15" s="2" t="s">
        <v>29</v>
      </c>
      <c r="B15" s="9">
        <f>B14*B3</f>
        <v>2818.622625</v>
      </c>
      <c r="C15" t="s">
        <v>30</v>
      </c>
      <c r="D15" s="2"/>
    </row>
    <row r="16" spans="1:4">
      <c r="A16" t="s">
        <v>31</v>
      </c>
      <c r="B16" s="9">
        <f>(B8/B9)/B2</f>
        <v>15</v>
      </c>
      <c r="C16" t="s">
        <v>32</v>
      </c>
      <c r="D16" s="2"/>
    </row>
    <row r="17" spans="1:3">
      <c r="A17" s="2" t="s">
        <v>33</v>
      </c>
      <c r="B17" s="9">
        <f>B18*B18/(2*F11)/9.8</f>
        <v>1.14795918367347</v>
      </c>
      <c r="C17" t="s">
        <v>34</v>
      </c>
    </row>
    <row r="18" spans="1:3">
      <c r="A18" t="s">
        <v>35</v>
      </c>
      <c r="B18" s="9">
        <f>B7*B9</f>
        <v>0.75</v>
      </c>
      <c r="C18" t="s">
        <v>36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5"/>
  </sheetPr>
  <dimension ref="A1:F18"/>
  <sheetViews>
    <sheetView workbookViewId="0">
      <selection activeCell="E28" sqref="E28"/>
    </sheetView>
  </sheetViews>
  <sheetFormatPr defaultColWidth="9" defaultRowHeight="14.4" outlineLevelCol="5"/>
  <cols>
    <col min="1" max="1" width="23.1296296296296" customWidth="1"/>
    <col min="2" max="2" width="12.5" customWidth="1"/>
    <col min="3" max="3" width="12.2592592592593" customWidth="1"/>
    <col min="5" max="5" width="24.6296296296296" customWidth="1"/>
  </cols>
  <sheetData>
    <row r="1" spans="1:3">
      <c r="A1" s="6" t="s">
        <v>0</v>
      </c>
      <c r="B1" s="6" t="s">
        <v>1</v>
      </c>
      <c r="C1" s="6" t="s">
        <v>2</v>
      </c>
    </row>
    <row r="2" spans="1:2">
      <c r="A2" t="s">
        <v>3</v>
      </c>
      <c r="B2">
        <v>1</v>
      </c>
    </row>
    <row r="3" spans="1:3">
      <c r="A3" t="s">
        <v>4</v>
      </c>
      <c r="B3">
        <v>120</v>
      </c>
      <c r="C3" t="s">
        <v>5</v>
      </c>
    </row>
    <row r="4" spans="1:3">
      <c r="A4" t="s">
        <v>37</v>
      </c>
      <c r="B4">
        <v>90</v>
      </c>
      <c r="C4" t="s">
        <v>7</v>
      </c>
    </row>
    <row r="5" spans="1:3">
      <c r="A5" t="s">
        <v>38</v>
      </c>
      <c r="B5">
        <v>0.4</v>
      </c>
      <c r="C5" t="s">
        <v>9</v>
      </c>
    </row>
    <row r="6" spans="1:3">
      <c r="A6" s="15" t="s">
        <v>11</v>
      </c>
      <c r="B6">
        <v>1.5</v>
      </c>
      <c r="C6" t="s">
        <v>12</v>
      </c>
    </row>
    <row r="7" spans="1:3">
      <c r="A7" s="15" t="s">
        <v>13</v>
      </c>
      <c r="B7">
        <v>120</v>
      </c>
      <c r="C7" t="s">
        <v>14</v>
      </c>
    </row>
    <row r="8" spans="1:3">
      <c r="A8" s="15" t="s">
        <v>15</v>
      </c>
      <c r="B8">
        <v>0.5</v>
      </c>
      <c r="C8" t="s">
        <v>9</v>
      </c>
    </row>
    <row r="11" spans="1:6">
      <c r="A11" s="6" t="s">
        <v>19</v>
      </c>
      <c r="B11" s="6" t="s">
        <v>20</v>
      </c>
      <c r="C11" s="6" t="s">
        <v>2</v>
      </c>
      <c r="D11" s="6" t="s">
        <v>21</v>
      </c>
      <c r="E11" s="7" t="s">
        <v>22</v>
      </c>
      <c r="F11" s="8">
        <v>0.0125</v>
      </c>
    </row>
    <row r="12" spans="1:3">
      <c r="A12" t="s">
        <v>23</v>
      </c>
      <c r="B12" s="9">
        <f>0.5*(B4*B5*B5)*B6*B6/B2</f>
        <v>16.2</v>
      </c>
      <c r="C12" t="s">
        <v>14</v>
      </c>
    </row>
    <row r="13" spans="1:6">
      <c r="A13" s="2" t="s">
        <v>24</v>
      </c>
      <c r="B13" s="9">
        <f>(B7/B8)*F11/B2</f>
        <v>3</v>
      </c>
      <c r="C13" t="s">
        <v>14</v>
      </c>
      <c r="E13" t="s">
        <v>25</v>
      </c>
      <c r="F13" t="s">
        <v>26</v>
      </c>
    </row>
    <row r="14" spans="1:4">
      <c r="A14" s="2" t="s">
        <v>27</v>
      </c>
      <c r="B14" s="9">
        <f>B12+B13</f>
        <v>19.2</v>
      </c>
      <c r="C14" t="s">
        <v>28</v>
      </c>
      <c r="D14" s="2" t="s">
        <v>26</v>
      </c>
    </row>
    <row r="15" spans="1:4">
      <c r="A15" s="2" t="s">
        <v>29</v>
      </c>
      <c r="B15" s="9">
        <f>B14*B3</f>
        <v>2304</v>
      </c>
      <c r="C15" t="s">
        <v>30</v>
      </c>
      <c r="D15" s="2"/>
    </row>
    <row r="16" spans="1:4">
      <c r="A16" t="s">
        <v>31</v>
      </c>
      <c r="B16" s="9">
        <f>(B7/B8)/B2</f>
        <v>240</v>
      </c>
      <c r="C16" t="s">
        <v>32</v>
      </c>
      <c r="D16" s="2"/>
    </row>
    <row r="17" spans="1:3">
      <c r="A17" s="2" t="s">
        <v>33</v>
      </c>
      <c r="B17" s="9">
        <f>B18*B18/(2*F11)/9.8</f>
        <v>2.29591836734694</v>
      </c>
      <c r="C17" t="s">
        <v>34</v>
      </c>
    </row>
    <row r="18" spans="1:3">
      <c r="A18" t="s">
        <v>35</v>
      </c>
      <c r="B18" s="9">
        <f>B8*B6</f>
        <v>0.75</v>
      </c>
      <c r="C18" t="s">
        <v>36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F29"/>
  <sheetViews>
    <sheetView workbookViewId="0">
      <selection activeCell="E28" sqref="E28"/>
    </sheetView>
  </sheetViews>
  <sheetFormatPr defaultColWidth="9" defaultRowHeight="14.4" outlineLevelCol="5"/>
  <cols>
    <col min="1" max="1" width="23.1296296296296" customWidth="1"/>
    <col min="2" max="2" width="12.5" customWidth="1"/>
    <col min="3" max="3" width="12.2592592592593" customWidth="1"/>
    <col min="5" max="5" width="24.6296296296296" customWidth="1"/>
  </cols>
  <sheetData>
    <row r="1" spans="1:3">
      <c r="A1" s="6" t="s">
        <v>0</v>
      </c>
      <c r="B1" s="6" t="s">
        <v>1</v>
      </c>
      <c r="C1" s="6" t="s">
        <v>2</v>
      </c>
    </row>
    <row r="2" spans="1:2">
      <c r="A2" t="s">
        <v>3</v>
      </c>
      <c r="B2">
        <v>1</v>
      </c>
    </row>
    <row r="3" spans="1:3">
      <c r="A3" t="s">
        <v>4</v>
      </c>
      <c r="B3">
        <v>250</v>
      </c>
      <c r="C3" t="s">
        <v>5</v>
      </c>
    </row>
    <row r="4" spans="1:3">
      <c r="A4" t="s">
        <v>46</v>
      </c>
      <c r="B4">
        <v>250</v>
      </c>
      <c r="C4" t="s">
        <v>7</v>
      </c>
    </row>
    <row r="5" spans="1:3">
      <c r="A5" t="s">
        <v>47</v>
      </c>
      <c r="B5">
        <v>0.2</v>
      </c>
      <c r="C5" t="s">
        <v>9</v>
      </c>
    </row>
    <row r="6" spans="1:3">
      <c r="A6" t="s">
        <v>48</v>
      </c>
      <c r="B6">
        <v>30</v>
      </c>
      <c r="C6" t="s">
        <v>17</v>
      </c>
    </row>
    <row r="11" spans="1:6">
      <c r="A11" s="6" t="s">
        <v>19</v>
      </c>
      <c r="B11" s="6" t="s">
        <v>20</v>
      </c>
      <c r="C11" s="6" t="s">
        <v>2</v>
      </c>
      <c r="D11" s="6" t="s">
        <v>21</v>
      </c>
      <c r="E11" s="7" t="s">
        <v>22</v>
      </c>
      <c r="F11" s="8">
        <v>0.075</v>
      </c>
    </row>
    <row r="12" spans="1:3">
      <c r="A12" t="s">
        <v>23</v>
      </c>
      <c r="B12" s="9">
        <f>9.8*B4*B5/B2</f>
        <v>490</v>
      </c>
      <c r="C12" t="s">
        <v>14</v>
      </c>
    </row>
    <row r="13" spans="1:6">
      <c r="A13" s="2" t="s">
        <v>24</v>
      </c>
      <c r="B13" s="9">
        <f>9.8*B4*SIN(B6*3.14/180)*F11/B2</f>
        <v>91.8327563606701</v>
      </c>
      <c r="C13" t="s">
        <v>14</v>
      </c>
      <c r="E13" t="s">
        <v>25</v>
      </c>
      <c r="F13" t="s">
        <v>26</v>
      </c>
    </row>
    <row r="14" spans="1:4">
      <c r="A14" s="11" t="s">
        <v>27</v>
      </c>
      <c r="B14" s="9">
        <f>B12+B13</f>
        <v>581.83275636067</v>
      </c>
      <c r="C14" t="s">
        <v>28</v>
      </c>
      <c r="D14" s="12">
        <v>0.72</v>
      </c>
    </row>
    <row r="15" spans="1:4">
      <c r="A15" s="2" t="s">
        <v>29</v>
      </c>
      <c r="B15" s="9">
        <f>B14*B3</f>
        <v>145458.189090168</v>
      </c>
      <c r="C15" t="s">
        <v>30</v>
      </c>
      <c r="D15" s="12"/>
    </row>
    <row r="16" s="10" customFormat="1" spans="1:4">
      <c r="A16" s="10" t="s">
        <v>31</v>
      </c>
      <c r="B16" s="13">
        <f>B4*9.8*SIN(B6*3.14/180)/B2</f>
        <v>1224.4367514756</v>
      </c>
      <c r="C16" s="10" t="s">
        <v>32</v>
      </c>
      <c r="D16" s="12"/>
    </row>
    <row r="17" spans="1:3">
      <c r="A17" s="2" t="s">
        <v>33</v>
      </c>
      <c r="B17" s="9">
        <f>B18*B18/(2*F11)/9.8</f>
        <v>2.66666666666667</v>
      </c>
      <c r="C17" t="s">
        <v>34</v>
      </c>
    </row>
    <row r="18" spans="1:3">
      <c r="A18" t="s">
        <v>35</v>
      </c>
      <c r="B18" s="9">
        <f>SQRT(19.6*B5)</f>
        <v>1.97989898732233</v>
      </c>
      <c r="C18" t="s">
        <v>36</v>
      </c>
    </row>
    <row r="28" spans="3:3">
      <c r="C28" s="9"/>
    </row>
    <row r="29" spans="3:3">
      <c r="C29" s="9"/>
    </row>
  </sheetData>
  <pageMargins left="0.7" right="0.7" top="0.75" bottom="0.75" header="0.3" footer="0.3"/>
  <pageSetup paperSize="9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F29"/>
  <sheetViews>
    <sheetView workbookViewId="0">
      <selection activeCell="E28" sqref="E28"/>
    </sheetView>
  </sheetViews>
  <sheetFormatPr defaultColWidth="9" defaultRowHeight="14.4" outlineLevelCol="5"/>
  <cols>
    <col min="1" max="1" width="23.1296296296296" customWidth="1"/>
    <col min="2" max="2" width="12.5" customWidth="1"/>
    <col min="3" max="3" width="12.2592592592593" customWidth="1"/>
    <col min="5" max="5" width="24.6296296296296" customWidth="1"/>
  </cols>
  <sheetData>
    <row r="1" spans="1:3">
      <c r="A1" s="6" t="s">
        <v>0</v>
      </c>
      <c r="B1" s="6" t="s">
        <v>1</v>
      </c>
      <c r="C1" s="6" t="s">
        <v>2</v>
      </c>
    </row>
    <row r="2" spans="1:2">
      <c r="A2" t="s">
        <v>3</v>
      </c>
      <c r="B2">
        <v>2</v>
      </c>
    </row>
    <row r="3" spans="1:3">
      <c r="A3" t="s">
        <v>4</v>
      </c>
      <c r="B3">
        <v>100</v>
      </c>
      <c r="C3" t="s">
        <v>5</v>
      </c>
    </row>
    <row r="4" spans="1:3">
      <c r="A4" t="s">
        <v>46</v>
      </c>
      <c r="B4">
        <v>90</v>
      </c>
      <c r="C4" t="s">
        <v>7</v>
      </c>
    </row>
    <row r="5" spans="1:3">
      <c r="A5" t="s">
        <v>49</v>
      </c>
      <c r="B5">
        <v>1.5</v>
      </c>
      <c r="C5" t="s">
        <v>36</v>
      </c>
    </row>
    <row r="6" spans="1:3">
      <c r="A6" t="s">
        <v>31</v>
      </c>
      <c r="B6">
        <v>500</v>
      </c>
      <c r="C6" t="s">
        <v>32</v>
      </c>
    </row>
    <row r="11" spans="1:6">
      <c r="A11" s="6" t="s">
        <v>19</v>
      </c>
      <c r="B11" s="6" t="s">
        <v>20</v>
      </c>
      <c r="C11" s="6" t="s">
        <v>2</v>
      </c>
      <c r="D11" s="6" t="s">
        <v>21</v>
      </c>
      <c r="E11" s="7" t="s">
        <v>22</v>
      </c>
      <c r="F11" s="8">
        <v>0.05</v>
      </c>
    </row>
    <row r="12" spans="1:3">
      <c r="A12" t="s">
        <v>23</v>
      </c>
      <c r="B12" s="9">
        <f>(0.5*B4*B5*B5)/B2</f>
        <v>50.625</v>
      </c>
      <c r="C12" t="s">
        <v>14</v>
      </c>
    </row>
    <row r="13" spans="1:6">
      <c r="A13" s="2" t="s">
        <v>24</v>
      </c>
      <c r="B13" s="9">
        <f>(B6-(9.8*B4))*F11/B2</f>
        <v>-9.55</v>
      </c>
      <c r="C13" t="s">
        <v>14</v>
      </c>
      <c r="E13" t="s">
        <v>25</v>
      </c>
      <c r="F13" t="s">
        <v>26</v>
      </c>
    </row>
    <row r="14" spans="1:4">
      <c r="A14" s="14" t="s">
        <v>27</v>
      </c>
      <c r="B14" s="9">
        <f>B12+B13</f>
        <v>41.075</v>
      </c>
      <c r="C14" t="s">
        <v>28</v>
      </c>
      <c r="D14" s="12"/>
    </row>
    <row r="15" spans="1:4">
      <c r="A15" s="2" t="s">
        <v>29</v>
      </c>
      <c r="B15" s="9">
        <f>B14*B3</f>
        <v>4107.5</v>
      </c>
      <c r="C15" t="s">
        <v>30</v>
      </c>
      <c r="D15" s="12"/>
    </row>
    <row r="16" s="10" customFormat="1" spans="1:4">
      <c r="A16" s="10" t="s">
        <v>31</v>
      </c>
      <c r="B16" s="13">
        <f>(B6-(9.8*B4))/B2</f>
        <v>-191</v>
      </c>
      <c r="C16" s="10" t="s">
        <v>32</v>
      </c>
      <c r="D16" s="12"/>
    </row>
    <row r="17" spans="1:3">
      <c r="A17" s="2" t="s">
        <v>33</v>
      </c>
      <c r="B17" s="9">
        <f>B18*B18/(2*F11)/9.8</f>
        <v>2.29591836734694</v>
      </c>
      <c r="C17" t="s">
        <v>34</v>
      </c>
    </row>
    <row r="18" spans="1:3">
      <c r="A18" t="s">
        <v>35</v>
      </c>
      <c r="B18" s="9">
        <f>B5</f>
        <v>1.5</v>
      </c>
      <c r="C18" t="s">
        <v>36</v>
      </c>
    </row>
    <row r="28" spans="3:3">
      <c r="C28" s="9"/>
    </row>
    <row r="29" spans="3:3">
      <c r="C29" s="9"/>
    </row>
  </sheetData>
  <pageMargins left="0.7" right="0.7" top="0.75" bottom="0.75" header="0.3" footer="0.3"/>
  <pageSetup paperSize="9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F29"/>
  <sheetViews>
    <sheetView topLeftCell="B1" workbookViewId="0">
      <selection activeCell="E28" sqref="E28"/>
    </sheetView>
  </sheetViews>
  <sheetFormatPr defaultColWidth="9" defaultRowHeight="14.4" outlineLevelCol="5"/>
  <cols>
    <col min="1" max="1" width="23.1296296296296" customWidth="1"/>
    <col min="2" max="2" width="12.5" customWidth="1"/>
    <col min="3" max="3" width="12.2592592592593" customWidth="1"/>
    <col min="5" max="5" width="24.6296296296296" customWidth="1"/>
  </cols>
  <sheetData>
    <row r="1" spans="1:3">
      <c r="A1" s="6" t="s">
        <v>0</v>
      </c>
      <c r="B1" s="6" t="s">
        <v>1</v>
      </c>
      <c r="C1" s="6" t="s">
        <v>2</v>
      </c>
    </row>
    <row r="2" spans="1:2">
      <c r="A2" t="s">
        <v>3</v>
      </c>
      <c r="B2">
        <v>2</v>
      </c>
    </row>
    <row r="3" spans="1:3">
      <c r="A3" t="s">
        <v>4</v>
      </c>
      <c r="B3">
        <v>100</v>
      </c>
      <c r="C3" t="s">
        <v>5</v>
      </c>
    </row>
    <row r="4" spans="1:3">
      <c r="A4" t="s">
        <v>46</v>
      </c>
      <c r="B4">
        <v>90</v>
      </c>
      <c r="C4" t="s">
        <v>7</v>
      </c>
    </row>
    <row r="5" spans="1:3">
      <c r="A5" t="s">
        <v>49</v>
      </c>
      <c r="B5">
        <v>1.5</v>
      </c>
      <c r="C5" t="s">
        <v>36</v>
      </c>
    </row>
    <row r="6" spans="1:3">
      <c r="A6" t="s">
        <v>31</v>
      </c>
      <c r="B6">
        <v>500</v>
      </c>
      <c r="C6" t="s">
        <v>32</v>
      </c>
    </row>
    <row r="11" spans="1:6">
      <c r="A11" s="6" t="s">
        <v>19</v>
      </c>
      <c r="B11" s="6" t="s">
        <v>20</v>
      </c>
      <c r="C11" s="6" t="s">
        <v>2</v>
      </c>
      <c r="D11" s="6" t="s">
        <v>21</v>
      </c>
      <c r="E11" s="7" t="s">
        <v>22</v>
      </c>
      <c r="F11" s="8">
        <v>0.05</v>
      </c>
    </row>
    <row r="12" spans="1:3">
      <c r="A12" t="s">
        <v>23</v>
      </c>
      <c r="B12" s="9">
        <f>(0.5*B4*B5*B5)/B2</f>
        <v>50.625</v>
      </c>
      <c r="C12" t="s">
        <v>14</v>
      </c>
    </row>
    <row r="13" spans="1:6">
      <c r="A13" s="2" t="s">
        <v>24</v>
      </c>
      <c r="B13" s="9">
        <f>(B6+(9.8*B4))*F11/B2</f>
        <v>34.55</v>
      </c>
      <c r="C13" t="s">
        <v>14</v>
      </c>
      <c r="E13" t="s">
        <v>25</v>
      </c>
      <c r="F13" t="s">
        <v>26</v>
      </c>
    </row>
    <row r="14" spans="1:4">
      <c r="A14" s="14" t="s">
        <v>27</v>
      </c>
      <c r="B14" s="9">
        <f>B12+B13</f>
        <v>85.175</v>
      </c>
      <c r="C14" t="s">
        <v>28</v>
      </c>
      <c r="D14" s="12"/>
    </row>
    <row r="15" spans="1:4">
      <c r="A15" s="2" t="s">
        <v>29</v>
      </c>
      <c r="B15" s="9">
        <f>B14*B3</f>
        <v>8517.5</v>
      </c>
      <c r="C15" t="s">
        <v>30</v>
      </c>
      <c r="D15" s="12"/>
    </row>
    <row r="16" s="10" customFormat="1" spans="1:4">
      <c r="A16" s="10" t="s">
        <v>31</v>
      </c>
      <c r="B16" s="13">
        <f>(B6+(9.8*B4))/B2</f>
        <v>691</v>
      </c>
      <c r="C16" s="10" t="s">
        <v>32</v>
      </c>
      <c r="D16" s="12"/>
    </row>
    <row r="17" spans="1:3">
      <c r="A17" s="2" t="s">
        <v>33</v>
      </c>
      <c r="B17" s="9">
        <f>B18*B18/(2*F11)/9.8</f>
        <v>2.29591836734694</v>
      </c>
      <c r="C17" t="s">
        <v>34</v>
      </c>
    </row>
    <row r="18" spans="1:3">
      <c r="A18" t="s">
        <v>35</v>
      </c>
      <c r="B18" s="9">
        <f>B5</f>
        <v>1.5</v>
      </c>
      <c r="C18" t="s">
        <v>36</v>
      </c>
    </row>
    <row r="28" spans="3:3">
      <c r="C28" s="9"/>
    </row>
    <row r="29" spans="3:3">
      <c r="C29" s="9"/>
    </row>
  </sheetData>
  <pageMargins left="0.7" right="0.7" top="0.75" bottom="0.75" header="0.3" footer="0.3"/>
  <pageSetup paperSize="9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F29"/>
  <sheetViews>
    <sheetView workbookViewId="0">
      <selection activeCell="E28" sqref="E28"/>
    </sheetView>
  </sheetViews>
  <sheetFormatPr defaultColWidth="9" defaultRowHeight="14.4" outlineLevelCol="5"/>
  <cols>
    <col min="1" max="1" width="23.1296296296296" customWidth="1"/>
    <col min="2" max="2" width="12.5" customWidth="1"/>
    <col min="3" max="3" width="12.2592592592593" customWidth="1"/>
    <col min="5" max="5" width="24.6296296296296" customWidth="1"/>
  </cols>
  <sheetData>
    <row r="1" spans="1:3">
      <c r="A1" s="6" t="s">
        <v>0</v>
      </c>
      <c r="B1" s="6" t="s">
        <v>1</v>
      </c>
      <c r="C1" s="6" t="s">
        <v>2</v>
      </c>
    </row>
    <row r="2" spans="1:2">
      <c r="A2" t="s">
        <v>3</v>
      </c>
      <c r="B2">
        <v>1</v>
      </c>
    </row>
    <row r="3" spans="1:3">
      <c r="A3" t="s">
        <v>4</v>
      </c>
      <c r="B3">
        <v>100</v>
      </c>
      <c r="C3" t="s">
        <v>5</v>
      </c>
    </row>
    <row r="4" spans="1:3">
      <c r="A4" t="s">
        <v>46</v>
      </c>
      <c r="B4">
        <v>90</v>
      </c>
      <c r="C4" t="s">
        <v>7</v>
      </c>
    </row>
    <row r="5" spans="1:3">
      <c r="A5" t="s">
        <v>49</v>
      </c>
      <c r="B5">
        <v>1.5</v>
      </c>
      <c r="C5" t="s">
        <v>36</v>
      </c>
    </row>
    <row r="6" spans="1:3">
      <c r="A6" t="s">
        <v>50</v>
      </c>
      <c r="B6">
        <v>1</v>
      </c>
      <c r="C6" t="s">
        <v>51</v>
      </c>
    </row>
    <row r="11" spans="1:6">
      <c r="A11" s="6" t="s">
        <v>19</v>
      </c>
      <c r="B11" s="6" t="s">
        <v>20</v>
      </c>
      <c r="C11" s="6" t="s">
        <v>2</v>
      </c>
      <c r="D11" s="6" t="s">
        <v>21</v>
      </c>
      <c r="E11" s="7" t="s">
        <v>22</v>
      </c>
      <c r="F11" s="8">
        <v>0.05</v>
      </c>
    </row>
    <row r="12" spans="1:3">
      <c r="A12" t="s">
        <v>23</v>
      </c>
      <c r="B12" s="9">
        <f>(0.5*B4*B5*B5)/B2</f>
        <v>101.25</v>
      </c>
      <c r="C12" t="s">
        <v>14</v>
      </c>
    </row>
    <row r="13" spans="1:6">
      <c r="A13" s="2" t="s">
        <v>24</v>
      </c>
      <c r="B13" s="9">
        <f>((3000*B6/B5)+(9.8*B4))*F11/B2</f>
        <v>144.1</v>
      </c>
      <c r="C13" t="s">
        <v>14</v>
      </c>
      <c r="E13" t="s">
        <v>25</v>
      </c>
      <c r="F13" t="s">
        <v>26</v>
      </c>
    </row>
    <row r="14" spans="1:4">
      <c r="A14" s="14" t="s">
        <v>27</v>
      </c>
      <c r="B14" s="9">
        <f>B12+B13</f>
        <v>245.35</v>
      </c>
      <c r="C14" t="s">
        <v>28</v>
      </c>
      <c r="D14" s="12"/>
    </row>
    <row r="15" spans="1:4">
      <c r="A15" s="2" t="s">
        <v>29</v>
      </c>
      <c r="B15" s="9">
        <f>B14*B3</f>
        <v>24535</v>
      </c>
      <c r="C15" t="s">
        <v>30</v>
      </c>
      <c r="D15" s="12"/>
    </row>
    <row r="16" s="10" customFormat="1" spans="1:4">
      <c r="A16" s="10" t="s">
        <v>31</v>
      </c>
      <c r="B16" s="13">
        <f>((3000*B6/B5)+(9.8*B4))/B2</f>
        <v>2882</v>
      </c>
      <c r="C16" s="10" t="s">
        <v>32</v>
      </c>
      <c r="D16" s="12"/>
    </row>
    <row r="17" spans="1:3">
      <c r="A17" s="2" t="s">
        <v>33</v>
      </c>
      <c r="B17" s="9">
        <f>B18*B18/(2*F11)/9.8</f>
        <v>2.29591836734694</v>
      </c>
      <c r="C17" t="s">
        <v>34</v>
      </c>
    </row>
    <row r="18" spans="1:3">
      <c r="A18" t="s">
        <v>35</v>
      </c>
      <c r="B18" s="9">
        <f>B5</f>
        <v>1.5</v>
      </c>
      <c r="C18" t="s">
        <v>36</v>
      </c>
    </row>
    <row r="28" spans="3:3">
      <c r="C28" s="9"/>
    </row>
    <row r="29" spans="3:3">
      <c r="C29" s="9"/>
    </row>
  </sheetData>
  <pageMargins left="0.7" right="0.7" top="0.75" bottom="0.75" header="0.3" footer="0.3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F29"/>
  <sheetViews>
    <sheetView workbookViewId="0">
      <selection activeCell="E28" sqref="E28"/>
    </sheetView>
  </sheetViews>
  <sheetFormatPr defaultColWidth="9" defaultRowHeight="14.4" outlineLevelCol="5"/>
  <cols>
    <col min="1" max="1" width="23.1296296296296" customWidth="1"/>
    <col min="2" max="2" width="12.5" customWidth="1"/>
    <col min="3" max="3" width="12.2592592592593" customWidth="1"/>
    <col min="5" max="5" width="24.6296296296296" customWidth="1"/>
  </cols>
  <sheetData>
    <row r="1" spans="1:3">
      <c r="A1" s="6" t="s">
        <v>0</v>
      </c>
      <c r="B1" s="6" t="s">
        <v>1</v>
      </c>
      <c r="C1" s="6" t="s">
        <v>2</v>
      </c>
    </row>
    <row r="2" spans="1:2">
      <c r="A2" t="s">
        <v>3</v>
      </c>
      <c r="B2">
        <v>1</v>
      </c>
    </row>
    <row r="3" spans="1:3">
      <c r="A3" t="s">
        <v>4</v>
      </c>
      <c r="B3">
        <v>100</v>
      </c>
      <c r="C3" t="s">
        <v>5</v>
      </c>
    </row>
    <row r="4" spans="1:3">
      <c r="A4" t="s">
        <v>46</v>
      </c>
      <c r="B4">
        <v>90</v>
      </c>
      <c r="C4" t="s">
        <v>7</v>
      </c>
    </row>
    <row r="5" spans="1:3">
      <c r="A5" t="s">
        <v>49</v>
      </c>
      <c r="B5">
        <v>1.5</v>
      </c>
      <c r="C5" t="s">
        <v>36</v>
      </c>
    </row>
    <row r="6" spans="1:3">
      <c r="A6" t="s">
        <v>50</v>
      </c>
      <c r="B6">
        <v>1</v>
      </c>
      <c r="C6" t="s">
        <v>51</v>
      </c>
    </row>
    <row r="11" spans="1:6">
      <c r="A11" s="6" t="s">
        <v>19</v>
      </c>
      <c r="B11" s="6" t="s">
        <v>20</v>
      </c>
      <c r="C11" s="6" t="s">
        <v>2</v>
      </c>
      <c r="D11" s="6" t="s">
        <v>21</v>
      </c>
      <c r="E11" s="7" t="s">
        <v>22</v>
      </c>
      <c r="F11" s="8">
        <v>0.05</v>
      </c>
    </row>
    <row r="12" spans="1:3">
      <c r="A12" t="s">
        <v>23</v>
      </c>
      <c r="B12" s="9">
        <f>(0.5*B4*B5*B5)/B2</f>
        <v>101.25</v>
      </c>
      <c r="C12" t="s">
        <v>14</v>
      </c>
    </row>
    <row r="13" spans="1:6">
      <c r="A13" s="2" t="s">
        <v>24</v>
      </c>
      <c r="B13" s="9">
        <f>((3000*B6/B5)-(9.8*B4))*F11/B2</f>
        <v>55.9</v>
      </c>
      <c r="C13" t="s">
        <v>14</v>
      </c>
      <c r="E13" t="s">
        <v>25</v>
      </c>
      <c r="F13" t="s">
        <v>26</v>
      </c>
    </row>
    <row r="14" spans="1:4">
      <c r="A14" s="14" t="s">
        <v>27</v>
      </c>
      <c r="B14" s="9">
        <f>B12+B13</f>
        <v>157.15</v>
      </c>
      <c r="C14" t="s">
        <v>28</v>
      </c>
      <c r="D14" s="12"/>
    </row>
    <row r="15" spans="1:4">
      <c r="A15" s="2" t="s">
        <v>29</v>
      </c>
      <c r="B15" s="9">
        <f>B14*B3</f>
        <v>15715</v>
      </c>
      <c r="C15" t="s">
        <v>30</v>
      </c>
      <c r="D15" s="12"/>
    </row>
    <row r="16" s="10" customFormat="1" spans="1:4">
      <c r="A16" s="10" t="s">
        <v>31</v>
      </c>
      <c r="B16" s="13">
        <f>((3000*B6/B5)-(9.8*B4))/B2</f>
        <v>1118</v>
      </c>
      <c r="C16" s="10" t="s">
        <v>32</v>
      </c>
      <c r="D16" s="12"/>
    </row>
    <row r="17" spans="1:3">
      <c r="A17" s="2" t="s">
        <v>33</v>
      </c>
      <c r="B17" s="9">
        <f>B18*B18/(2*F11)/9.8</f>
        <v>2.29591836734694</v>
      </c>
      <c r="C17" t="s">
        <v>34</v>
      </c>
    </row>
    <row r="18" spans="1:3">
      <c r="A18" t="s">
        <v>35</v>
      </c>
      <c r="B18" s="9">
        <f>B5</f>
        <v>1.5</v>
      </c>
      <c r="C18" t="s">
        <v>36</v>
      </c>
    </row>
    <row r="28" spans="3:3">
      <c r="C28" s="9"/>
    </row>
    <row r="29" spans="3:3">
      <c r="C29" s="9"/>
    </row>
  </sheetData>
  <pageMargins left="0.7" right="0.7" top="0.75" bottom="0.75" header="0.3" footer="0.3"/>
  <pageSetup paperSize="9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F29"/>
  <sheetViews>
    <sheetView topLeftCell="A5" workbookViewId="0">
      <selection activeCell="E28" sqref="E28"/>
    </sheetView>
  </sheetViews>
  <sheetFormatPr defaultColWidth="9" defaultRowHeight="14.4" outlineLevelCol="5"/>
  <cols>
    <col min="1" max="1" width="23.1296296296296" customWidth="1"/>
    <col min="2" max="2" width="12.5" customWidth="1"/>
    <col min="3" max="3" width="12.2592592592593" customWidth="1"/>
    <col min="5" max="5" width="24.6296296296296" customWidth="1"/>
  </cols>
  <sheetData>
    <row r="1" spans="1:3">
      <c r="A1" s="6" t="s">
        <v>0</v>
      </c>
      <c r="B1" s="6" t="s">
        <v>1</v>
      </c>
      <c r="C1" s="6" t="s">
        <v>2</v>
      </c>
    </row>
    <row r="2" spans="1:2">
      <c r="A2" t="s">
        <v>3</v>
      </c>
      <c r="B2">
        <v>1</v>
      </c>
    </row>
    <row r="3" spans="1:3">
      <c r="A3" t="s">
        <v>4</v>
      </c>
      <c r="B3">
        <v>200</v>
      </c>
      <c r="C3" t="s">
        <v>5</v>
      </c>
    </row>
    <row r="4" spans="1:3">
      <c r="A4" t="s">
        <v>46</v>
      </c>
      <c r="B4">
        <v>1550</v>
      </c>
      <c r="C4" t="s">
        <v>7</v>
      </c>
    </row>
    <row r="5" spans="1:3">
      <c r="A5" t="s">
        <v>49</v>
      </c>
      <c r="B5">
        <v>2</v>
      </c>
      <c r="C5" t="s">
        <v>36</v>
      </c>
    </row>
    <row r="6" spans="1:2">
      <c r="A6" t="s">
        <v>52</v>
      </c>
      <c r="B6">
        <v>2</v>
      </c>
    </row>
    <row r="7" spans="1:3">
      <c r="A7" t="s">
        <v>53</v>
      </c>
      <c r="B7">
        <v>150</v>
      </c>
      <c r="C7" t="s">
        <v>54</v>
      </c>
    </row>
    <row r="8" spans="1:3">
      <c r="A8" t="s">
        <v>55</v>
      </c>
      <c r="B8">
        <v>5</v>
      </c>
      <c r="C8" t="s">
        <v>56</v>
      </c>
    </row>
    <row r="11" spans="1:6">
      <c r="A11" s="6" t="s">
        <v>19</v>
      </c>
      <c r="B11" s="6" t="s">
        <v>20</v>
      </c>
      <c r="C11" s="6" t="s">
        <v>2</v>
      </c>
      <c r="D11" s="6" t="s">
        <v>21</v>
      </c>
      <c r="E11" s="7" t="s">
        <v>22</v>
      </c>
      <c r="F11" s="8">
        <v>0.125</v>
      </c>
    </row>
    <row r="12" spans="1:3">
      <c r="A12" t="s">
        <v>23</v>
      </c>
      <c r="B12" s="9">
        <f>(0.5*B4*B5*B5)/B2</f>
        <v>3100</v>
      </c>
      <c r="C12" t="s">
        <v>14</v>
      </c>
    </row>
    <row r="13" spans="1:6">
      <c r="A13" s="2" t="s">
        <v>24</v>
      </c>
      <c r="B13" s="9">
        <f>((0.0785*B7*B7*B8*B6)-(9.8*B4))*F11/B2</f>
        <v>309.0625</v>
      </c>
      <c r="C13" t="s">
        <v>14</v>
      </c>
      <c r="E13" t="s">
        <v>25</v>
      </c>
      <c r="F13" t="s">
        <v>26</v>
      </c>
    </row>
    <row r="14" spans="1:4">
      <c r="A14" s="14" t="s">
        <v>27</v>
      </c>
      <c r="B14" s="9">
        <f>B12+B13</f>
        <v>3409.0625</v>
      </c>
      <c r="C14" t="s">
        <v>28</v>
      </c>
      <c r="D14" s="12"/>
    </row>
    <row r="15" spans="1:4">
      <c r="A15" s="2" t="s">
        <v>29</v>
      </c>
      <c r="B15" s="9">
        <f>B14*B3</f>
        <v>681812.5</v>
      </c>
      <c r="C15" t="s">
        <v>30</v>
      </c>
      <c r="D15" s="12"/>
    </row>
    <row r="16" s="10" customFormat="1" spans="1:4">
      <c r="A16" s="10" t="s">
        <v>31</v>
      </c>
      <c r="B16" s="13">
        <f>((0.0785*B7*B7*B8*B6)-(9.8*B4))/B2</f>
        <v>2472.5</v>
      </c>
      <c r="C16" s="10" t="s">
        <v>32</v>
      </c>
      <c r="D16" s="12"/>
    </row>
    <row r="17" spans="1:3">
      <c r="A17" s="2" t="s">
        <v>33</v>
      </c>
      <c r="B17" s="9">
        <f>B18*B18/(2*F11)/9.8</f>
        <v>1.63265306122449</v>
      </c>
      <c r="C17" t="s">
        <v>34</v>
      </c>
    </row>
    <row r="18" spans="1:3">
      <c r="A18" t="s">
        <v>35</v>
      </c>
      <c r="B18" s="9">
        <f>B5</f>
        <v>2</v>
      </c>
      <c r="C18" t="s">
        <v>36</v>
      </c>
    </row>
    <row r="28" spans="3:3">
      <c r="C28" s="9"/>
    </row>
    <row r="29" spans="3:3">
      <c r="C29" s="9"/>
    </row>
  </sheetData>
  <pageMargins left="0.7" right="0.7" top="0.75" bottom="0.75" header="0.3" footer="0.3"/>
  <pageSetup paperSize="9" orientation="portrait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F29"/>
  <sheetViews>
    <sheetView workbookViewId="0">
      <selection activeCell="E28" sqref="E28"/>
    </sheetView>
  </sheetViews>
  <sheetFormatPr defaultColWidth="9" defaultRowHeight="14.4" outlineLevelCol="5"/>
  <cols>
    <col min="1" max="1" width="23.1296296296296" customWidth="1"/>
    <col min="2" max="2" width="12.5" customWidth="1"/>
    <col min="3" max="3" width="12.2592592592593" customWidth="1"/>
    <col min="5" max="5" width="24.6296296296296" customWidth="1"/>
  </cols>
  <sheetData>
    <row r="1" spans="1:3">
      <c r="A1" s="6" t="s">
        <v>0</v>
      </c>
      <c r="B1" s="6" t="s">
        <v>1</v>
      </c>
      <c r="C1" s="6" t="s">
        <v>2</v>
      </c>
    </row>
    <row r="2" spans="1:2">
      <c r="A2" t="s">
        <v>3</v>
      </c>
      <c r="B2">
        <v>1</v>
      </c>
    </row>
    <row r="3" spans="1:3">
      <c r="A3" t="s">
        <v>4</v>
      </c>
      <c r="B3">
        <v>200</v>
      </c>
      <c r="C3" t="s">
        <v>5</v>
      </c>
    </row>
    <row r="4" spans="1:3">
      <c r="A4" t="s">
        <v>46</v>
      </c>
      <c r="B4">
        <v>1550</v>
      </c>
      <c r="C4" t="s">
        <v>7</v>
      </c>
    </row>
    <row r="5" spans="1:3">
      <c r="A5" t="s">
        <v>49</v>
      </c>
      <c r="B5">
        <v>2</v>
      </c>
      <c r="C5" t="s">
        <v>36</v>
      </c>
    </row>
    <row r="6" spans="1:2">
      <c r="A6" t="s">
        <v>52</v>
      </c>
      <c r="B6">
        <v>1</v>
      </c>
    </row>
    <row r="7" spans="1:3">
      <c r="A7" t="s">
        <v>53</v>
      </c>
      <c r="B7">
        <v>100</v>
      </c>
      <c r="C7" t="s">
        <v>54</v>
      </c>
    </row>
    <row r="8" spans="1:3">
      <c r="A8" t="s">
        <v>55</v>
      </c>
      <c r="B8">
        <v>5</v>
      </c>
      <c r="C8" t="s">
        <v>56</v>
      </c>
    </row>
    <row r="11" spans="1:6">
      <c r="A11" s="6" t="s">
        <v>19</v>
      </c>
      <c r="B11" s="6" t="s">
        <v>20</v>
      </c>
      <c r="C11" s="6" t="s">
        <v>2</v>
      </c>
      <c r="D11" s="6" t="s">
        <v>21</v>
      </c>
      <c r="E11" s="7" t="s">
        <v>22</v>
      </c>
      <c r="F11" s="8">
        <v>0.1</v>
      </c>
    </row>
    <row r="12" spans="1:3">
      <c r="A12" t="s">
        <v>23</v>
      </c>
      <c r="B12" s="9">
        <f>(0.5*B4*B5*B5)/B2</f>
        <v>3100</v>
      </c>
      <c r="C12" t="s">
        <v>14</v>
      </c>
    </row>
    <row r="13" spans="1:6">
      <c r="A13" s="2" t="s">
        <v>24</v>
      </c>
      <c r="B13" s="9">
        <f>((0.0785*B7*B7*B8*B6)+(9.8*B4))*F11/B2</f>
        <v>1911.5</v>
      </c>
      <c r="C13" t="s">
        <v>14</v>
      </c>
      <c r="E13" t="s">
        <v>25</v>
      </c>
      <c r="F13" t="s">
        <v>26</v>
      </c>
    </row>
    <row r="14" spans="1:4">
      <c r="A14" s="14" t="s">
        <v>27</v>
      </c>
      <c r="B14" s="9">
        <f>B12+B13</f>
        <v>5011.5</v>
      </c>
      <c r="C14" t="s">
        <v>28</v>
      </c>
      <c r="D14" s="12"/>
    </row>
    <row r="15" spans="1:4">
      <c r="A15" s="2" t="s">
        <v>29</v>
      </c>
      <c r="B15" s="9">
        <f>B14*B3</f>
        <v>1002300</v>
      </c>
      <c r="C15" t="s">
        <v>30</v>
      </c>
      <c r="D15" s="12"/>
    </row>
    <row r="16" s="10" customFormat="1" spans="1:4">
      <c r="A16" s="10" t="s">
        <v>31</v>
      </c>
      <c r="B16" s="13">
        <f>((0.0785*B7*B7*B8*B6)+(9.8*B4))/B2</f>
        <v>19115</v>
      </c>
      <c r="C16" s="10" t="s">
        <v>32</v>
      </c>
      <c r="D16" s="12"/>
    </row>
    <row r="17" spans="1:3">
      <c r="A17" s="2" t="s">
        <v>33</v>
      </c>
      <c r="B17" s="9">
        <f>B18*B18/(2*F11)/9.8</f>
        <v>2.04081632653061</v>
      </c>
      <c r="C17" t="s">
        <v>34</v>
      </c>
    </row>
    <row r="18" spans="1:3">
      <c r="A18" t="s">
        <v>35</v>
      </c>
      <c r="B18" s="9">
        <f>B5</f>
        <v>2</v>
      </c>
      <c r="C18" t="s">
        <v>36</v>
      </c>
    </row>
    <row r="28" spans="3:3">
      <c r="C28" s="9"/>
    </row>
    <row r="29" spans="3:3">
      <c r="C29" s="9"/>
    </row>
  </sheetData>
  <pageMargins left="0.7" right="0.7" top="0.75" bottom="0.75" header="0.3" footer="0.3"/>
  <pageSetup paperSize="9" orientation="portrait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F29"/>
  <sheetViews>
    <sheetView workbookViewId="0">
      <selection activeCell="E28" sqref="E28"/>
    </sheetView>
  </sheetViews>
  <sheetFormatPr defaultColWidth="9" defaultRowHeight="14.4" outlineLevelCol="5"/>
  <cols>
    <col min="1" max="1" width="23.1296296296296" customWidth="1"/>
    <col min="2" max="2" width="12.5" customWidth="1"/>
    <col min="3" max="3" width="12.2592592592593" customWidth="1"/>
    <col min="5" max="5" width="24.6296296296296" customWidth="1"/>
  </cols>
  <sheetData>
    <row r="1" spans="1:3">
      <c r="A1" s="6" t="s">
        <v>0</v>
      </c>
      <c r="B1" s="6" t="s">
        <v>1</v>
      </c>
      <c r="C1" s="6" t="s">
        <v>2</v>
      </c>
    </row>
    <row r="2" spans="1:2">
      <c r="A2" t="s">
        <v>3</v>
      </c>
      <c r="B2">
        <v>2</v>
      </c>
    </row>
    <row r="3" spans="1:3">
      <c r="A3" t="s">
        <v>4</v>
      </c>
      <c r="B3">
        <v>2</v>
      </c>
      <c r="C3" t="s">
        <v>5</v>
      </c>
    </row>
    <row r="4" spans="1:3">
      <c r="A4" t="s">
        <v>46</v>
      </c>
      <c r="B4">
        <v>3100</v>
      </c>
      <c r="C4" t="s">
        <v>7</v>
      </c>
    </row>
    <row r="5" spans="1:3">
      <c r="A5" t="s">
        <v>47</v>
      </c>
      <c r="B5">
        <v>0.5</v>
      </c>
      <c r="C5" t="s">
        <v>9</v>
      </c>
    </row>
    <row r="11" spans="1:6">
      <c r="A11" s="6" t="s">
        <v>19</v>
      </c>
      <c r="B11" s="6" t="s">
        <v>20</v>
      </c>
      <c r="C11" s="6" t="s">
        <v>2</v>
      </c>
      <c r="D11" s="6" t="s">
        <v>21</v>
      </c>
      <c r="E11" s="7" t="s">
        <v>22</v>
      </c>
      <c r="F11" s="8">
        <v>0.15</v>
      </c>
    </row>
    <row r="12" spans="1:3">
      <c r="A12" t="s">
        <v>23</v>
      </c>
      <c r="B12" s="9">
        <f>9.8*B4*B5/B2</f>
        <v>7595</v>
      </c>
      <c r="C12" t="s">
        <v>14</v>
      </c>
    </row>
    <row r="13" spans="1:6">
      <c r="A13" s="2" t="s">
        <v>24</v>
      </c>
      <c r="B13" s="9">
        <f>9.8*B4*F11/B2</f>
        <v>2278.5</v>
      </c>
      <c r="C13" t="s">
        <v>14</v>
      </c>
      <c r="E13" t="s">
        <v>25</v>
      </c>
      <c r="F13" t="s">
        <v>26</v>
      </c>
    </row>
    <row r="14" spans="1:4">
      <c r="A14" s="11" t="s">
        <v>27</v>
      </c>
      <c r="B14" s="9">
        <f>B12+B13</f>
        <v>9873.5</v>
      </c>
      <c r="C14" t="s">
        <v>28</v>
      </c>
      <c r="D14" s="12">
        <v>0.72</v>
      </c>
    </row>
    <row r="15" spans="1:4">
      <c r="A15" s="2" t="s">
        <v>29</v>
      </c>
      <c r="B15" s="9">
        <f>B14*B3</f>
        <v>19747</v>
      </c>
      <c r="C15" t="s">
        <v>30</v>
      </c>
      <c r="D15" s="12"/>
    </row>
    <row r="16" s="10" customFormat="1" spans="1:4">
      <c r="A16" s="10" t="s">
        <v>31</v>
      </c>
      <c r="B16" s="13">
        <f>B4*9.8/B2</f>
        <v>15190</v>
      </c>
      <c r="C16" s="10" t="s">
        <v>32</v>
      </c>
      <c r="D16" s="12"/>
    </row>
    <row r="17" spans="1:3">
      <c r="A17" s="2" t="s">
        <v>33</v>
      </c>
      <c r="B17" s="9">
        <f>B18*B18/(2*F11)/9.8</f>
        <v>3.33333333333333</v>
      </c>
      <c r="C17" t="s">
        <v>34</v>
      </c>
    </row>
    <row r="18" spans="1:3">
      <c r="A18" t="s">
        <v>35</v>
      </c>
      <c r="B18" s="9">
        <f>SQRT(19.6*B5)</f>
        <v>3.13049516849971</v>
      </c>
      <c r="C18" t="s">
        <v>36</v>
      </c>
    </row>
    <row r="28" spans="3:3">
      <c r="C28" s="9"/>
    </row>
    <row r="29" spans="3:3">
      <c r="C29" s="9"/>
    </row>
  </sheetData>
  <pageMargins left="0.7" right="0.7" top="0.75" bottom="0.75" header="0.3" footer="0.3"/>
  <pageSetup paperSize="9" orientation="portrait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F18"/>
  <sheetViews>
    <sheetView workbookViewId="0">
      <selection activeCell="E28" sqref="E28"/>
    </sheetView>
  </sheetViews>
  <sheetFormatPr defaultColWidth="9" defaultRowHeight="14.4" outlineLevelCol="5"/>
  <cols>
    <col min="1" max="1" width="23.1296296296296" customWidth="1"/>
    <col min="2" max="2" width="12.5" customWidth="1"/>
    <col min="3" max="3" width="12.2592592592593" customWidth="1"/>
    <col min="5" max="5" width="24.6296296296296" customWidth="1"/>
  </cols>
  <sheetData>
    <row r="1" spans="1:3">
      <c r="A1" s="6" t="s">
        <v>0</v>
      </c>
      <c r="B1" s="6" t="s">
        <v>1</v>
      </c>
      <c r="C1" s="6" t="s">
        <v>2</v>
      </c>
    </row>
    <row r="2" spans="1:2">
      <c r="A2" t="s">
        <v>3</v>
      </c>
      <c r="B2">
        <v>1</v>
      </c>
    </row>
    <row r="3" spans="1:3">
      <c r="A3" t="s">
        <v>4</v>
      </c>
      <c r="B3">
        <v>200</v>
      </c>
      <c r="C3" t="s">
        <v>5</v>
      </c>
    </row>
    <row r="4" spans="1:3">
      <c r="A4" t="s">
        <v>46</v>
      </c>
      <c r="B4">
        <v>900</v>
      </c>
      <c r="C4" t="s">
        <v>7</v>
      </c>
    </row>
    <row r="5" spans="1:3">
      <c r="A5" t="s">
        <v>49</v>
      </c>
      <c r="B5">
        <v>1.5</v>
      </c>
      <c r="C5" t="s">
        <v>36</v>
      </c>
    </row>
    <row r="6" spans="1:2">
      <c r="A6" t="s">
        <v>52</v>
      </c>
      <c r="B6">
        <v>1</v>
      </c>
    </row>
    <row r="7" spans="1:3">
      <c r="A7" t="s">
        <v>53</v>
      </c>
      <c r="B7">
        <v>75</v>
      </c>
      <c r="C7" t="s">
        <v>54</v>
      </c>
    </row>
    <row r="8" spans="1:3">
      <c r="A8" t="s">
        <v>55</v>
      </c>
      <c r="B8">
        <v>5</v>
      </c>
      <c r="C8" t="s">
        <v>56</v>
      </c>
    </row>
    <row r="11" spans="1:6">
      <c r="A11" s="6" t="s">
        <v>19</v>
      </c>
      <c r="B11" s="6" t="s">
        <v>20</v>
      </c>
      <c r="C11" s="6" t="s">
        <v>2</v>
      </c>
      <c r="D11" s="6" t="s">
        <v>21</v>
      </c>
      <c r="E11" s="7" t="s">
        <v>22</v>
      </c>
      <c r="F11" s="8">
        <v>0.05</v>
      </c>
    </row>
    <row r="12" spans="1:3">
      <c r="A12" t="s">
        <v>23</v>
      </c>
      <c r="B12" s="9">
        <f>0.5*B4*B5*B5/B2</f>
        <v>1012.5</v>
      </c>
      <c r="C12" t="s">
        <v>14</v>
      </c>
    </row>
    <row r="13" spans="1:6">
      <c r="A13" s="2" t="s">
        <v>24</v>
      </c>
      <c r="B13" s="9">
        <f>(0.0785*B7*B7*B8/B2)*B6*F11/B2</f>
        <v>110.390625</v>
      </c>
      <c r="C13" t="s">
        <v>14</v>
      </c>
      <c r="E13" t="s">
        <v>25</v>
      </c>
      <c r="F13" t="s">
        <v>26</v>
      </c>
    </row>
    <row r="14" spans="1:4">
      <c r="A14" s="2" t="s">
        <v>27</v>
      </c>
      <c r="B14" s="9">
        <f>B12+B13</f>
        <v>1122.890625</v>
      </c>
      <c r="C14" t="s">
        <v>28</v>
      </c>
      <c r="D14" s="2" t="s">
        <v>26</v>
      </c>
    </row>
    <row r="15" spans="1:4">
      <c r="A15" s="2" t="s">
        <v>29</v>
      </c>
      <c r="B15" s="9">
        <f>B14*B3</f>
        <v>224578.125</v>
      </c>
      <c r="C15" t="s">
        <v>30</v>
      </c>
      <c r="D15" s="2"/>
    </row>
    <row r="16" spans="1:4">
      <c r="A16" t="s">
        <v>31</v>
      </c>
      <c r="B16" s="9">
        <f>0.0785*B7*B7*B8*B6/B2</f>
        <v>2207.8125</v>
      </c>
      <c r="C16" t="s">
        <v>32</v>
      </c>
      <c r="D16" s="2"/>
    </row>
    <row r="17" spans="1:3">
      <c r="A17" s="2" t="s">
        <v>33</v>
      </c>
      <c r="B17" s="9">
        <f>B5*B5/(2*F11)/9.8</f>
        <v>2.29591836734694</v>
      </c>
      <c r="C17" t="s">
        <v>34</v>
      </c>
    </row>
    <row r="18" spans="1:3">
      <c r="A18" t="s">
        <v>35</v>
      </c>
      <c r="B18" s="9">
        <f>B5</f>
        <v>1.5</v>
      </c>
      <c r="C18" t="s">
        <v>36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F18"/>
  <sheetViews>
    <sheetView workbookViewId="0">
      <selection activeCell="E28" sqref="E28"/>
    </sheetView>
  </sheetViews>
  <sheetFormatPr defaultColWidth="9" defaultRowHeight="14.4" outlineLevelCol="5"/>
  <cols>
    <col min="1" max="1" width="23.1296296296296" customWidth="1"/>
    <col min="2" max="2" width="12.5" customWidth="1"/>
    <col min="3" max="3" width="12.2592592592593" customWidth="1"/>
    <col min="5" max="5" width="24.6296296296296" customWidth="1"/>
  </cols>
  <sheetData>
    <row r="1" spans="1:3">
      <c r="A1" s="6" t="s">
        <v>0</v>
      </c>
      <c r="B1" s="6" t="s">
        <v>1</v>
      </c>
      <c r="C1" s="6" t="s">
        <v>2</v>
      </c>
    </row>
    <row r="2" spans="1:2">
      <c r="A2" t="s">
        <v>3</v>
      </c>
      <c r="B2">
        <v>2</v>
      </c>
    </row>
    <row r="3" spans="1:3">
      <c r="A3" t="s">
        <v>4</v>
      </c>
      <c r="B3">
        <v>200</v>
      </c>
      <c r="C3" t="s">
        <v>5</v>
      </c>
    </row>
    <row r="4" spans="1:3">
      <c r="A4" t="s">
        <v>46</v>
      </c>
      <c r="B4">
        <v>1800</v>
      </c>
      <c r="C4" t="s">
        <v>7</v>
      </c>
    </row>
    <row r="5" spans="1:3">
      <c r="A5" t="s">
        <v>49</v>
      </c>
      <c r="B5">
        <v>1.5</v>
      </c>
      <c r="C5" t="s">
        <v>36</v>
      </c>
    </row>
    <row r="6" spans="1:3">
      <c r="A6" t="s">
        <v>31</v>
      </c>
      <c r="B6">
        <v>2208.9</v>
      </c>
      <c r="C6" t="s">
        <v>32</v>
      </c>
    </row>
    <row r="11" spans="1:6">
      <c r="A11" s="6" t="s">
        <v>19</v>
      </c>
      <c r="B11" s="6" t="s">
        <v>20</v>
      </c>
      <c r="C11" s="6" t="s">
        <v>2</v>
      </c>
      <c r="D11" s="6" t="s">
        <v>21</v>
      </c>
      <c r="E11" s="7" t="s">
        <v>22</v>
      </c>
      <c r="F11" s="8">
        <v>0.05</v>
      </c>
    </row>
    <row r="12" spans="1:3">
      <c r="A12" t="s">
        <v>23</v>
      </c>
      <c r="B12" s="9">
        <f>0.5*B4*B5*B5/B2</f>
        <v>1012.5</v>
      </c>
      <c r="C12" t="s">
        <v>14</v>
      </c>
    </row>
    <row r="13" spans="1:6">
      <c r="A13" s="2" t="s">
        <v>24</v>
      </c>
      <c r="B13" s="9">
        <f>B6*F11/B2</f>
        <v>55.2225</v>
      </c>
      <c r="C13" t="s">
        <v>14</v>
      </c>
      <c r="E13" t="s">
        <v>25</v>
      </c>
      <c r="F13" t="s">
        <v>26</v>
      </c>
    </row>
    <row r="14" spans="1:4">
      <c r="A14" s="2" t="s">
        <v>27</v>
      </c>
      <c r="B14" s="9">
        <f>B12+B13</f>
        <v>1067.7225</v>
      </c>
      <c r="C14" t="s">
        <v>28</v>
      </c>
      <c r="D14" s="2" t="s">
        <v>26</v>
      </c>
    </row>
    <row r="15" spans="1:4">
      <c r="A15" s="2" t="s">
        <v>29</v>
      </c>
      <c r="B15" s="9">
        <f>B14*B3</f>
        <v>213544.5</v>
      </c>
      <c r="C15" t="s">
        <v>30</v>
      </c>
      <c r="D15" s="2"/>
    </row>
    <row r="16" spans="1:4">
      <c r="A16" t="s">
        <v>31</v>
      </c>
      <c r="B16" s="9">
        <f>B6/B2</f>
        <v>1104.45</v>
      </c>
      <c r="C16" t="s">
        <v>32</v>
      </c>
      <c r="D16" s="2"/>
    </row>
    <row r="17" spans="1:3">
      <c r="A17" s="2" t="s">
        <v>33</v>
      </c>
      <c r="B17" s="9">
        <f>B5*B5/(2*F11)/9.8</f>
        <v>2.29591836734694</v>
      </c>
      <c r="C17" t="s">
        <v>34</v>
      </c>
    </row>
    <row r="18" spans="1:3">
      <c r="A18" t="s">
        <v>35</v>
      </c>
      <c r="B18" s="9">
        <f>B5</f>
        <v>1.5</v>
      </c>
      <c r="C18" t="s">
        <v>36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F18"/>
  <sheetViews>
    <sheetView tabSelected="1" workbookViewId="0">
      <selection activeCell="E28" sqref="E28"/>
    </sheetView>
  </sheetViews>
  <sheetFormatPr defaultColWidth="9" defaultRowHeight="14.4" outlineLevelCol="5"/>
  <cols>
    <col min="1" max="1" width="23.1296296296296" customWidth="1"/>
    <col min="2" max="2" width="12.5" customWidth="1"/>
    <col min="3" max="3" width="12.2592592592593" customWidth="1"/>
    <col min="5" max="5" width="24.6296296296296" customWidth="1"/>
  </cols>
  <sheetData>
    <row r="1" spans="1:3">
      <c r="A1" s="6" t="s">
        <v>0</v>
      </c>
      <c r="B1" s="6" t="s">
        <v>1</v>
      </c>
      <c r="C1" s="6" t="s">
        <v>2</v>
      </c>
    </row>
    <row r="2" spans="1:2">
      <c r="A2" t="s">
        <v>3</v>
      </c>
      <c r="B2">
        <v>1</v>
      </c>
    </row>
    <row r="3" spans="1:3">
      <c r="A3" t="s">
        <v>4</v>
      </c>
      <c r="B3">
        <v>1</v>
      </c>
      <c r="C3" t="s">
        <v>5</v>
      </c>
    </row>
    <row r="4" spans="1:3">
      <c r="A4" t="s">
        <v>46</v>
      </c>
      <c r="B4">
        <v>10000</v>
      </c>
      <c r="C4" t="s">
        <v>7</v>
      </c>
    </row>
    <row r="5" spans="1:3">
      <c r="A5" t="s">
        <v>49</v>
      </c>
      <c r="B5">
        <v>3.3</v>
      </c>
      <c r="C5" t="s">
        <v>36</v>
      </c>
    </row>
    <row r="6" spans="1:3">
      <c r="A6" t="s">
        <v>50</v>
      </c>
      <c r="B6">
        <v>19</v>
      </c>
      <c r="C6" t="s">
        <v>51</v>
      </c>
    </row>
    <row r="11" spans="1:6">
      <c r="A11" s="6" t="s">
        <v>19</v>
      </c>
      <c r="B11" s="6" t="s">
        <v>20</v>
      </c>
      <c r="C11" s="6" t="s">
        <v>2</v>
      </c>
      <c r="D11" s="6" t="s">
        <v>21</v>
      </c>
      <c r="E11" s="7" t="s">
        <v>22</v>
      </c>
      <c r="F11" s="8">
        <v>0.3</v>
      </c>
    </row>
    <row r="12" spans="1:3">
      <c r="A12" t="s">
        <v>23</v>
      </c>
      <c r="B12" s="9">
        <f>0.5*B4*B5*B5/B2</f>
        <v>54450</v>
      </c>
      <c r="C12" t="s">
        <v>14</v>
      </c>
    </row>
    <row r="13" spans="1:6">
      <c r="A13" s="2" t="s">
        <v>24</v>
      </c>
      <c r="B13" s="9">
        <f>((3000*B6)/B5)*F11/B2</f>
        <v>5181.81818181818</v>
      </c>
      <c r="C13" t="s">
        <v>14</v>
      </c>
      <c r="E13" t="s">
        <v>25</v>
      </c>
      <c r="F13" t="s">
        <v>26</v>
      </c>
    </row>
    <row r="14" spans="1:4">
      <c r="A14" s="2" t="s">
        <v>27</v>
      </c>
      <c r="B14" s="9">
        <f>B12+B13</f>
        <v>59631.8181818182</v>
      </c>
      <c r="C14" t="s">
        <v>28</v>
      </c>
      <c r="D14" s="2" t="s">
        <v>26</v>
      </c>
    </row>
    <row r="15" spans="1:4">
      <c r="A15" s="2" t="s">
        <v>29</v>
      </c>
      <c r="B15" s="9">
        <f>B14*B3</f>
        <v>59631.8181818182</v>
      </c>
      <c r="C15" t="s">
        <v>30</v>
      </c>
      <c r="D15" s="2"/>
    </row>
    <row r="16" spans="1:4">
      <c r="A16" t="s">
        <v>31</v>
      </c>
      <c r="B16" s="9">
        <f>((3000*B6)/B5)/B2</f>
        <v>17272.7272727273</v>
      </c>
      <c r="C16" t="s">
        <v>32</v>
      </c>
      <c r="D16" s="2"/>
    </row>
    <row r="17" spans="1:3">
      <c r="A17" s="2" t="s">
        <v>33</v>
      </c>
      <c r="B17" s="9">
        <f>B5*B5/(2*F11)/9.8</f>
        <v>1.85204081632653</v>
      </c>
      <c r="C17" t="s">
        <v>34</v>
      </c>
    </row>
    <row r="18" spans="1:3">
      <c r="A18" t="s">
        <v>35</v>
      </c>
      <c r="B18" s="9">
        <f>B5</f>
        <v>3.3</v>
      </c>
      <c r="C18" t="s">
        <v>36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F18"/>
  <sheetViews>
    <sheetView workbookViewId="0">
      <selection activeCell="E28" sqref="E28"/>
    </sheetView>
  </sheetViews>
  <sheetFormatPr defaultColWidth="9" defaultRowHeight="14.4" outlineLevelCol="5"/>
  <cols>
    <col min="1" max="1" width="23.1296296296296" customWidth="1"/>
    <col min="2" max="2" width="12.5" customWidth="1"/>
    <col min="3" max="3" width="12.2592592592593" customWidth="1"/>
    <col min="5" max="5" width="24.6296296296296" customWidth="1"/>
  </cols>
  <sheetData>
    <row r="1" spans="1:3">
      <c r="A1" s="6" t="s">
        <v>0</v>
      </c>
      <c r="B1" s="6" t="s">
        <v>1</v>
      </c>
      <c r="C1" s="6" t="s">
        <v>2</v>
      </c>
    </row>
    <row r="2" spans="1:2">
      <c r="A2" t="s">
        <v>3</v>
      </c>
      <c r="B2">
        <v>2</v>
      </c>
    </row>
    <row r="3" spans="1:3">
      <c r="A3" t="s">
        <v>4</v>
      </c>
      <c r="B3">
        <v>200</v>
      </c>
      <c r="C3" t="s">
        <v>5</v>
      </c>
    </row>
    <row r="4" spans="1:3">
      <c r="A4" t="s">
        <v>46</v>
      </c>
      <c r="B4">
        <v>1800</v>
      </c>
      <c r="C4" t="s">
        <v>7</v>
      </c>
    </row>
    <row r="5" spans="1:3">
      <c r="A5" t="s">
        <v>49</v>
      </c>
      <c r="B5">
        <v>1.5</v>
      </c>
      <c r="C5" t="s">
        <v>36</v>
      </c>
    </row>
    <row r="11" spans="1:6">
      <c r="A11" s="6" t="s">
        <v>19</v>
      </c>
      <c r="B11" s="6" t="s">
        <v>20</v>
      </c>
      <c r="C11" s="6" t="s">
        <v>2</v>
      </c>
      <c r="D11" s="6" t="s">
        <v>21</v>
      </c>
      <c r="E11" s="7" t="s">
        <v>22</v>
      </c>
      <c r="F11" s="8">
        <v>0.05</v>
      </c>
    </row>
    <row r="12" spans="1:3">
      <c r="A12" t="s">
        <v>23</v>
      </c>
      <c r="B12" s="9">
        <f>0.5*B4*B5*B5/B2</f>
        <v>1012.5</v>
      </c>
      <c r="C12" t="s">
        <v>14</v>
      </c>
    </row>
    <row r="13" spans="1:6">
      <c r="A13" s="2" t="s">
        <v>24</v>
      </c>
      <c r="B13" s="9">
        <v>0</v>
      </c>
      <c r="C13" t="s">
        <v>14</v>
      </c>
      <c r="E13" t="s">
        <v>25</v>
      </c>
      <c r="F13" t="s">
        <v>26</v>
      </c>
    </row>
    <row r="14" spans="1:4">
      <c r="A14" s="2" t="s">
        <v>27</v>
      </c>
      <c r="B14" s="9">
        <f>B12+B13</f>
        <v>1012.5</v>
      </c>
      <c r="C14" t="s">
        <v>28</v>
      </c>
      <c r="D14" s="2" t="s">
        <v>26</v>
      </c>
    </row>
    <row r="15" spans="1:4">
      <c r="A15" s="2" t="s">
        <v>29</v>
      </c>
      <c r="B15" s="9">
        <f>B14*B3</f>
        <v>202500</v>
      </c>
      <c r="C15" t="s">
        <v>30</v>
      </c>
      <c r="D15" s="2"/>
    </row>
    <row r="16" spans="1:4">
      <c r="A16" t="s">
        <v>31</v>
      </c>
      <c r="B16" s="9">
        <v>0</v>
      </c>
      <c r="C16" t="s">
        <v>32</v>
      </c>
      <c r="D16" s="2"/>
    </row>
    <row r="17" spans="1:3">
      <c r="A17" s="2" t="s">
        <v>33</v>
      </c>
      <c r="B17" s="9">
        <f>B5*B5/(2*F11)/9.8</f>
        <v>2.29591836734694</v>
      </c>
      <c r="C17" t="s">
        <v>34</v>
      </c>
    </row>
    <row r="18" spans="1:3">
      <c r="A18" t="s">
        <v>35</v>
      </c>
      <c r="B18" s="9">
        <f>B5</f>
        <v>1.5</v>
      </c>
      <c r="C18" t="s">
        <v>36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8"/>
  <sheetViews>
    <sheetView zoomScale="90" zoomScaleNormal="90" workbookViewId="0">
      <pane ySplit="1" topLeftCell="A73" activePane="bottomLeft" state="frozen"/>
      <selection/>
      <selection pane="bottomLeft" activeCell="E28" sqref="E28"/>
    </sheetView>
  </sheetViews>
  <sheetFormatPr defaultColWidth="9" defaultRowHeight="14.4"/>
  <cols>
    <col min="1" max="1" width="11.3796296296296" customWidth="1"/>
    <col min="2" max="2" width="24.6296296296296" style="1" customWidth="1"/>
    <col min="3" max="3" width="14.2592592592593" style="2" customWidth="1"/>
    <col min="4" max="4" width="23.8796296296296" style="2" customWidth="1"/>
    <col min="5" max="5" width="26" customWidth="1"/>
    <col min="6" max="6" width="13.8796296296296" customWidth="1"/>
    <col min="7" max="7" width="16" customWidth="1"/>
    <col min="8" max="8" width="9" customWidth="1"/>
    <col min="9" max="9" width="18.7592592592593" customWidth="1"/>
    <col min="10" max="10" width="14.7407407407407" customWidth="1"/>
  </cols>
  <sheetData>
    <row r="1" spans="1:10">
      <c r="A1" t="s">
        <v>57</v>
      </c>
      <c r="B1" s="1" t="s">
        <v>58</v>
      </c>
      <c r="C1" s="2" t="s">
        <v>59</v>
      </c>
      <c r="D1" s="2" t="s">
        <v>25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</row>
    <row r="2" spans="1:10">
      <c r="A2" s="3" t="s">
        <v>66</v>
      </c>
      <c r="B2" s="4" t="s">
        <v>67</v>
      </c>
      <c r="C2" s="5">
        <v>4</v>
      </c>
      <c r="D2" s="5">
        <v>16</v>
      </c>
      <c r="E2" s="3">
        <v>28800</v>
      </c>
      <c r="F2" s="3">
        <v>2200</v>
      </c>
      <c r="G2" s="3">
        <v>300</v>
      </c>
      <c r="H2" s="3">
        <v>72.4</v>
      </c>
      <c r="I2" s="3" t="s">
        <v>68</v>
      </c>
      <c r="J2">
        <v>3006</v>
      </c>
    </row>
    <row r="3" spans="1:10">
      <c r="A3" s="3" t="s">
        <v>69</v>
      </c>
      <c r="B3" s="4" t="s">
        <v>67</v>
      </c>
      <c r="C3" s="5">
        <v>5</v>
      </c>
      <c r="D3" s="5">
        <v>30</v>
      </c>
      <c r="E3" s="3">
        <v>54000</v>
      </c>
      <c r="F3" s="3">
        <v>3000</v>
      </c>
      <c r="G3" s="3">
        <v>950</v>
      </c>
      <c r="H3" s="3">
        <v>82.7</v>
      </c>
      <c r="I3" s="3" t="s">
        <v>70</v>
      </c>
      <c r="J3">
        <v>3005</v>
      </c>
    </row>
    <row r="4" spans="1:10">
      <c r="A4" s="3" t="s">
        <v>71</v>
      </c>
      <c r="B4" s="4" t="s">
        <v>67</v>
      </c>
      <c r="C4" s="5">
        <v>5</v>
      </c>
      <c r="D4" s="5">
        <v>30</v>
      </c>
      <c r="E4" s="3">
        <v>54000</v>
      </c>
      <c r="F4" s="3">
        <v>3000</v>
      </c>
      <c r="G4" s="3">
        <v>950</v>
      </c>
      <c r="H4" s="3">
        <v>90.7</v>
      </c>
      <c r="I4" s="3" t="s">
        <v>70</v>
      </c>
      <c r="J4">
        <v>3006</v>
      </c>
    </row>
    <row r="5" spans="1:10">
      <c r="A5" s="3" t="s">
        <v>72</v>
      </c>
      <c r="B5" s="4" t="s">
        <v>67</v>
      </c>
      <c r="C5" s="5">
        <v>19</v>
      </c>
      <c r="D5" s="5">
        <v>110</v>
      </c>
      <c r="E5" s="3">
        <v>198000</v>
      </c>
      <c r="F5" s="3">
        <v>6000</v>
      </c>
      <c r="G5" s="3">
        <v>2600</v>
      </c>
      <c r="H5" s="3">
        <v>128.8</v>
      </c>
      <c r="I5" s="3" t="s">
        <v>73</v>
      </c>
      <c r="J5">
        <v>3004</v>
      </c>
    </row>
    <row r="6" spans="1:10">
      <c r="A6" s="3" t="s">
        <v>74</v>
      </c>
      <c r="B6" s="4" t="s">
        <v>67</v>
      </c>
      <c r="C6" s="5">
        <v>19</v>
      </c>
      <c r="D6" s="5">
        <v>95</v>
      </c>
      <c r="E6" s="3">
        <v>142500</v>
      </c>
      <c r="F6" s="3">
        <v>6000</v>
      </c>
      <c r="G6" s="3">
        <v>2600</v>
      </c>
      <c r="H6" s="3">
        <v>141.4</v>
      </c>
      <c r="I6" s="3" t="s">
        <v>73</v>
      </c>
      <c r="J6">
        <v>3001</v>
      </c>
    </row>
    <row r="7" spans="1:10">
      <c r="A7" s="3" t="s">
        <v>75</v>
      </c>
      <c r="B7" s="4" t="s">
        <v>67</v>
      </c>
      <c r="C7" s="5">
        <v>4</v>
      </c>
      <c r="D7" s="5">
        <v>110</v>
      </c>
      <c r="E7" s="3">
        <v>198000</v>
      </c>
      <c r="F7" s="3">
        <v>6000</v>
      </c>
      <c r="G7" s="3">
        <v>2600</v>
      </c>
      <c r="H7" s="3">
        <v>121.8</v>
      </c>
      <c r="I7" s="3" t="s">
        <v>73</v>
      </c>
      <c r="J7">
        <v>3004</v>
      </c>
    </row>
    <row r="8" spans="1:10">
      <c r="A8" s="3" t="s">
        <v>76</v>
      </c>
      <c r="B8" s="4" t="s">
        <v>67</v>
      </c>
      <c r="C8" s="5">
        <v>8</v>
      </c>
      <c r="D8" s="5">
        <v>65</v>
      </c>
      <c r="E8" s="3">
        <v>117000</v>
      </c>
      <c r="F8" s="3">
        <v>3900</v>
      </c>
      <c r="G8" s="3">
        <v>1800</v>
      </c>
      <c r="H8" s="3">
        <v>103.9</v>
      </c>
      <c r="I8" s="3" t="s">
        <v>77</v>
      </c>
      <c r="J8">
        <v>3003</v>
      </c>
    </row>
    <row r="9" spans="1:10">
      <c r="A9" s="3" t="s">
        <v>78</v>
      </c>
      <c r="B9" s="4" t="s">
        <v>67</v>
      </c>
      <c r="C9" s="5">
        <v>13</v>
      </c>
      <c r="D9" s="5">
        <v>110</v>
      </c>
      <c r="E9" s="3">
        <v>198000</v>
      </c>
      <c r="F9" s="3">
        <v>6000</v>
      </c>
      <c r="G9" s="3">
        <v>2600</v>
      </c>
      <c r="H9" s="3">
        <v>144.6</v>
      </c>
      <c r="I9" s="3" t="s">
        <v>73</v>
      </c>
      <c r="J9">
        <v>3002</v>
      </c>
    </row>
    <row r="10" spans="1:10">
      <c r="A10" s="3" t="s">
        <v>79</v>
      </c>
      <c r="B10" s="4" t="s">
        <v>67</v>
      </c>
      <c r="C10" s="5">
        <v>19</v>
      </c>
      <c r="D10" s="5">
        <v>110</v>
      </c>
      <c r="E10" s="3">
        <v>198000</v>
      </c>
      <c r="F10" s="3">
        <v>6000</v>
      </c>
      <c r="G10" s="3">
        <v>2600</v>
      </c>
      <c r="H10" s="3">
        <v>137.6</v>
      </c>
      <c r="I10" s="3" t="s">
        <v>80</v>
      </c>
      <c r="J10">
        <v>3002</v>
      </c>
    </row>
    <row r="11" spans="1:10">
      <c r="A11" s="3" t="s">
        <v>81</v>
      </c>
      <c r="B11" s="4" t="s">
        <v>67</v>
      </c>
      <c r="C11" s="5">
        <v>19</v>
      </c>
      <c r="D11" s="5">
        <v>105</v>
      </c>
      <c r="E11" s="3">
        <v>189000</v>
      </c>
      <c r="F11" s="3">
        <v>6000</v>
      </c>
      <c r="G11" s="3">
        <v>2600</v>
      </c>
      <c r="H11" s="3">
        <v>141.4</v>
      </c>
      <c r="I11" s="3" t="s">
        <v>80</v>
      </c>
      <c r="J11">
        <v>3001</v>
      </c>
    </row>
    <row r="12" spans="1:10">
      <c r="A12" s="3" t="s">
        <v>82</v>
      </c>
      <c r="B12" s="4" t="s">
        <v>67</v>
      </c>
      <c r="C12" s="5">
        <v>11</v>
      </c>
      <c r="D12" s="5">
        <v>110</v>
      </c>
      <c r="E12" s="3">
        <v>19800</v>
      </c>
      <c r="F12" s="3">
        <v>6000</v>
      </c>
      <c r="G12" s="3">
        <v>2600</v>
      </c>
      <c r="H12" s="3">
        <v>133.8</v>
      </c>
      <c r="I12" s="3" t="s">
        <v>73</v>
      </c>
      <c r="J12">
        <v>3004</v>
      </c>
    </row>
    <row r="13" spans="1:10">
      <c r="A13" s="3" t="s">
        <v>83</v>
      </c>
      <c r="B13" s="4" t="s">
        <v>67</v>
      </c>
      <c r="C13" s="5">
        <v>6.4</v>
      </c>
      <c r="D13" s="5">
        <v>4</v>
      </c>
      <c r="E13" s="3">
        <v>6215</v>
      </c>
      <c r="F13" s="3">
        <v>890</v>
      </c>
      <c r="G13" s="3">
        <v>200</v>
      </c>
      <c r="H13" s="3">
        <v>57</v>
      </c>
      <c r="I13" s="3" t="s">
        <v>84</v>
      </c>
      <c r="J13">
        <v>2001</v>
      </c>
    </row>
    <row r="14" spans="1:10">
      <c r="A14" s="3" t="s">
        <v>85</v>
      </c>
      <c r="B14" s="4" t="s">
        <v>67</v>
      </c>
      <c r="C14" s="5">
        <v>6.4</v>
      </c>
      <c r="D14" s="5">
        <v>4</v>
      </c>
      <c r="E14" s="3">
        <v>6215</v>
      </c>
      <c r="F14" s="3">
        <v>890</v>
      </c>
      <c r="G14" s="3">
        <v>200</v>
      </c>
      <c r="H14" s="3">
        <v>47</v>
      </c>
      <c r="I14" s="3" t="s">
        <v>84</v>
      </c>
      <c r="J14">
        <v>2003</v>
      </c>
    </row>
    <row r="15" spans="1:10">
      <c r="A15" s="3" t="s">
        <v>86</v>
      </c>
      <c r="B15" s="4" t="s">
        <v>67</v>
      </c>
      <c r="C15" s="5">
        <v>50</v>
      </c>
      <c r="D15" s="5">
        <v>1865</v>
      </c>
      <c r="E15" s="3">
        <v>271000</v>
      </c>
      <c r="F15" s="3">
        <v>60500</v>
      </c>
      <c r="G15" s="3">
        <v>17800</v>
      </c>
      <c r="H15" s="3">
        <v>226</v>
      </c>
      <c r="I15" s="3" t="s">
        <v>87</v>
      </c>
      <c r="J15">
        <v>1051</v>
      </c>
    </row>
    <row r="16" spans="1:10">
      <c r="A16" s="3" t="s">
        <v>88</v>
      </c>
      <c r="B16" s="4" t="s">
        <v>67</v>
      </c>
      <c r="C16" s="5">
        <v>150</v>
      </c>
      <c r="D16" s="5">
        <v>5650</v>
      </c>
      <c r="E16" s="3">
        <v>421000</v>
      </c>
      <c r="F16" s="3">
        <v>60500</v>
      </c>
      <c r="G16" s="3">
        <v>17800</v>
      </c>
      <c r="H16" s="3">
        <v>956</v>
      </c>
      <c r="I16" s="3" t="s">
        <v>87</v>
      </c>
      <c r="J16">
        <v>1052</v>
      </c>
    </row>
    <row r="17" spans="1:10">
      <c r="A17" s="3" t="s">
        <v>89</v>
      </c>
      <c r="B17" s="4" t="s">
        <v>67</v>
      </c>
      <c r="C17" s="5">
        <v>100</v>
      </c>
      <c r="D17" s="5">
        <v>3729</v>
      </c>
      <c r="E17" s="3">
        <v>362000</v>
      </c>
      <c r="F17" s="3">
        <v>60500</v>
      </c>
      <c r="G17" s="3">
        <v>17800</v>
      </c>
      <c r="H17" s="3">
        <v>328</v>
      </c>
      <c r="I17" s="3" t="s">
        <v>87</v>
      </c>
      <c r="J17">
        <v>1052</v>
      </c>
    </row>
    <row r="18" spans="1:10">
      <c r="A18" s="3" t="s">
        <v>90</v>
      </c>
      <c r="B18" s="4" t="s">
        <v>67</v>
      </c>
      <c r="C18" s="5">
        <v>75</v>
      </c>
      <c r="D18" s="5">
        <v>1130</v>
      </c>
      <c r="E18" s="3">
        <v>201000</v>
      </c>
      <c r="F18" s="3">
        <v>29000</v>
      </c>
      <c r="G18" s="3">
        <v>6700</v>
      </c>
      <c r="H18" s="3">
        <v>246</v>
      </c>
      <c r="I18" s="3" t="s">
        <v>91</v>
      </c>
      <c r="J18">
        <v>1042</v>
      </c>
    </row>
    <row r="19" spans="1:10">
      <c r="A19" s="3" t="s">
        <v>92</v>
      </c>
      <c r="B19" s="4" t="s">
        <v>67</v>
      </c>
      <c r="C19" s="5">
        <v>50</v>
      </c>
      <c r="D19" s="5">
        <v>735</v>
      </c>
      <c r="E19" s="3">
        <v>167000</v>
      </c>
      <c r="F19" s="3">
        <v>29000</v>
      </c>
      <c r="G19" s="3">
        <v>6700</v>
      </c>
      <c r="H19" s="3">
        <v>195</v>
      </c>
      <c r="I19" s="3" t="s">
        <v>91</v>
      </c>
      <c r="J19">
        <v>1042</v>
      </c>
    </row>
    <row r="20" spans="1:10">
      <c r="A20" s="3" t="s">
        <v>93</v>
      </c>
      <c r="B20" s="4" t="s">
        <v>67</v>
      </c>
      <c r="C20" s="5">
        <v>25</v>
      </c>
      <c r="D20" s="5">
        <v>367</v>
      </c>
      <c r="E20" s="3">
        <v>126000</v>
      </c>
      <c r="F20" s="3">
        <v>29000</v>
      </c>
      <c r="G20" s="3">
        <v>6700</v>
      </c>
      <c r="H20" s="3">
        <v>144</v>
      </c>
      <c r="I20" s="3" t="s">
        <v>91</v>
      </c>
      <c r="J20">
        <v>1041</v>
      </c>
    </row>
    <row r="21" spans="1:10">
      <c r="A21" s="3" t="s">
        <v>94</v>
      </c>
      <c r="B21" s="4" t="s">
        <v>67</v>
      </c>
      <c r="C21" s="5">
        <v>50</v>
      </c>
      <c r="D21" s="5">
        <v>310</v>
      </c>
      <c r="E21" s="3">
        <v>111000</v>
      </c>
      <c r="F21" s="3">
        <v>11120</v>
      </c>
      <c r="G21" s="3">
        <v>3100</v>
      </c>
      <c r="H21" s="3">
        <v>212</v>
      </c>
      <c r="I21" s="3" t="s">
        <v>95</v>
      </c>
      <c r="J21">
        <v>1032</v>
      </c>
    </row>
    <row r="22" spans="1:10">
      <c r="A22" s="3" t="s">
        <v>96</v>
      </c>
      <c r="B22" s="4" t="s">
        <v>67</v>
      </c>
      <c r="C22" s="5">
        <v>50</v>
      </c>
      <c r="D22" s="5">
        <v>310</v>
      </c>
      <c r="E22" s="3">
        <v>111000</v>
      </c>
      <c r="F22" s="3">
        <v>11120</v>
      </c>
      <c r="G22" s="3">
        <v>3100</v>
      </c>
      <c r="H22" s="3">
        <v>207</v>
      </c>
      <c r="I22" s="3" t="s">
        <v>95</v>
      </c>
      <c r="J22">
        <v>1032</v>
      </c>
    </row>
    <row r="23" spans="1:10">
      <c r="A23" s="3" t="s">
        <v>97</v>
      </c>
      <c r="B23" s="4" t="s">
        <v>67</v>
      </c>
      <c r="C23" s="5">
        <v>25</v>
      </c>
      <c r="D23" s="5">
        <v>160</v>
      </c>
      <c r="E23" s="3">
        <v>91000</v>
      </c>
      <c r="F23" s="3">
        <v>11120</v>
      </c>
      <c r="G23" s="3">
        <v>3100</v>
      </c>
      <c r="H23" s="3">
        <v>145.3</v>
      </c>
      <c r="I23" s="3" t="s">
        <v>95</v>
      </c>
      <c r="J23">
        <v>1031</v>
      </c>
    </row>
    <row r="24" spans="1:10">
      <c r="A24" s="3" t="s">
        <v>98</v>
      </c>
      <c r="B24" s="4" t="s">
        <v>67</v>
      </c>
      <c r="C24" s="5">
        <v>25</v>
      </c>
      <c r="D24" s="5">
        <v>160</v>
      </c>
      <c r="E24" s="3">
        <v>91000</v>
      </c>
      <c r="F24" s="3">
        <v>11120</v>
      </c>
      <c r="G24" s="3">
        <v>3100</v>
      </c>
      <c r="H24" s="3">
        <v>140.2</v>
      </c>
      <c r="I24" s="3" t="s">
        <v>95</v>
      </c>
      <c r="J24">
        <v>1031</v>
      </c>
    </row>
    <row r="25" spans="1:10">
      <c r="A25" s="3" t="s">
        <v>99</v>
      </c>
      <c r="B25" s="4" t="s">
        <v>67</v>
      </c>
      <c r="C25" s="5">
        <v>50</v>
      </c>
      <c r="D25" s="5">
        <v>310</v>
      </c>
      <c r="E25" s="3">
        <v>90300</v>
      </c>
      <c r="F25" s="3">
        <v>11120</v>
      </c>
      <c r="G25" s="3">
        <v>3100</v>
      </c>
      <c r="H25" s="3">
        <v>212</v>
      </c>
      <c r="I25" s="3" t="s">
        <v>100</v>
      </c>
      <c r="J25">
        <v>1032</v>
      </c>
    </row>
    <row r="26" spans="1:10">
      <c r="A26" s="3" t="s">
        <v>101</v>
      </c>
      <c r="B26" s="4" t="s">
        <v>67</v>
      </c>
      <c r="C26" s="5">
        <v>50</v>
      </c>
      <c r="D26" s="5">
        <v>310</v>
      </c>
      <c r="E26" s="3">
        <v>90300</v>
      </c>
      <c r="F26" s="3">
        <v>11120</v>
      </c>
      <c r="G26" s="3">
        <v>3100</v>
      </c>
      <c r="H26" s="3">
        <v>207</v>
      </c>
      <c r="I26" s="3" t="s">
        <v>100</v>
      </c>
      <c r="J26">
        <v>1032</v>
      </c>
    </row>
    <row r="27" spans="1:10">
      <c r="A27" s="3" t="s">
        <v>102</v>
      </c>
      <c r="B27" s="4" t="s">
        <v>67</v>
      </c>
      <c r="C27" s="5">
        <v>25</v>
      </c>
      <c r="D27" s="5">
        <v>160</v>
      </c>
      <c r="E27" s="3">
        <v>75700</v>
      </c>
      <c r="F27" s="3">
        <v>11120</v>
      </c>
      <c r="G27" s="3">
        <v>3100</v>
      </c>
      <c r="H27" s="3">
        <v>145.3</v>
      </c>
      <c r="I27" s="3" t="s">
        <v>100</v>
      </c>
      <c r="J27">
        <v>1031</v>
      </c>
    </row>
    <row r="28" spans="1:10">
      <c r="A28" s="3" t="s">
        <v>103</v>
      </c>
      <c r="B28" s="4" t="s">
        <v>67</v>
      </c>
      <c r="C28" s="5">
        <v>25</v>
      </c>
      <c r="D28" s="5">
        <v>160</v>
      </c>
      <c r="E28" s="3">
        <v>75700</v>
      </c>
      <c r="F28" s="3">
        <v>11120</v>
      </c>
      <c r="G28" s="3">
        <v>3100</v>
      </c>
      <c r="H28" s="3">
        <v>140.2</v>
      </c>
      <c r="I28" s="3" t="s">
        <v>100</v>
      </c>
      <c r="J28">
        <v>1031</v>
      </c>
    </row>
    <row r="29" spans="1:10">
      <c r="A29" s="3" t="s">
        <v>104</v>
      </c>
      <c r="B29" s="4" t="s">
        <v>67</v>
      </c>
      <c r="C29" s="5">
        <v>25</v>
      </c>
      <c r="D29" s="5">
        <v>105</v>
      </c>
      <c r="E29" s="3">
        <v>77000</v>
      </c>
      <c r="F29" s="3">
        <v>5500</v>
      </c>
      <c r="G29" s="3">
        <v>2200</v>
      </c>
      <c r="H29" s="3">
        <v>141.5</v>
      </c>
      <c r="I29" s="3" t="s">
        <v>80</v>
      </c>
      <c r="J29">
        <v>3001</v>
      </c>
    </row>
    <row r="30" spans="1:10">
      <c r="A30" s="3" t="s">
        <v>105</v>
      </c>
      <c r="B30" s="4" t="s">
        <v>67</v>
      </c>
      <c r="C30" s="5">
        <v>25</v>
      </c>
      <c r="D30" s="5">
        <v>105</v>
      </c>
      <c r="E30" s="3">
        <v>77000</v>
      </c>
      <c r="F30" s="3">
        <v>5500</v>
      </c>
      <c r="G30" s="3">
        <v>2200</v>
      </c>
      <c r="H30" s="3">
        <v>128.8</v>
      </c>
      <c r="I30" s="3" t="s">
        <v>80</v>
      </c>
      <c r="J30">
        <v>3004</v>
      </c>
    </row>
    <row r="31" spans="1:10">
      <c r="A31" s="3" t="s">
        <v>106</v>
      </c>
      <c r="B31" s="4" t="s">
        <v>67</v>
      </c>
      <c r="C31" s="5">
        <v>25</v>
      </c>
      <c r="D31" s="5">
        <v>105</v>
      </c>
      <c r="E31" s="3">
        <v>77000</v>
      </c>
      <c r="F31" s="3">
        <v>5500</v>
      </c>
      <c r="G31" s="3">
        <v>2200</v>
      </c>
      <c r="H31" s="3">
        <v>141.5</v>
      </c>
      <c r="I31" s="3" t="s">
        <v>80</v>
      </c>
      <c r="J31">
        <v>3001</v>
      </c>
    </row>
    <row r="32" spans="1:10">
      <c r="A32" s="3" t="s">
        <v>107</v>
      </c>
      <c r="B32" s="4" t="s">
        <v>67</v>
      </c>
      <c r="C32" s="5">
        <v>25</v>
      </c>
      <c r="D32" s="5">
        <v>105</v>
      </c>
      <c r="E32" s="3">
        <v>77000</v>
      </c>
      <c r="F32" s="3">
        <v>5500</v>
      </c>
      <c r="G32" s="3">
        <v>2200</v>
      </c>
      <c r="H32" s="3">
        <v>128.8</v>
      </c>
      <c r="I32" s="3" t="s">
        <v>80</v>
      </c>
      <c r="J32">
        <v>3004</v>
      </c>
    </row>
    <row r="33" spans="1:10">
      <c r="A33" s="3" t="s">
        <v>108</v>
      </c>
      <c r="B33" s="4" t="s">
        <v>67</v>
      </c>
      <c r="C33" s="5">
        <v>22</v>
      </c>
      <c r="D33" s="5">
        <v>62</v>
      </c>
      <c r="E33" s="3">
        <v>59070</v>
      </c>
      <c r="F33" s="3">
        <v>3750</v>
      </c>
      <c r="G33" s="3">
        <v>1600</v>
      </c>
      <c r="H33" s="3">
        <v>130.3</v>
      </c>
      <c r="I33" s="3" t="s">
        <v>77</v>
      </c>
      <c r="J33">
        <v>3003</v>
      </c>
    </row>
    <row r="34" spans="1:10">
      <c r="A34" s="3" t="s">
        <v>109</v>
      </c>
      <c r="B34" s="4" t="s">
        <v>67</v>
      </c>
      <c r="C34" s="5">
        <v>22</v>
      </c>
      <c r="D34" s="5">
        <v>62</v>
      </c>
      <c r="E34" s="3">
        <v>59070</v>
      </c>
      <c r="F34" s="3">
        <v>3750</v>
      </c>
      <c r="G34" s="3">
        <v>1600</v>
      </c>
      <c r="H34" s="3">
        <v>118.4</v>
      </c>
      <c r="I34" s="3" t="s">
        <v>77</v>
      </c>
      <c r="J34">
        <v>3004</v>
      </c>
    </row>
    <row r="35" spans="1:10">
      <c r="A35" s="3" t="s">
        <v>110</v>
      </c>
      <c r="B35" s="4" t="s">
        <v>67</v>
      </c>
      <c r="C35" s="5">
        <v>12.7</v>
      </c>
      <c r="D35" s="5">
        <v>32</v>
      </c>
      <c r="E35" s="3">
        <v>49720</v>
      </c>
      <c r="F35" s="3">
        <v>3750</v>
      </c>
      <c r="G35" s="3">
        <v>1600</v>
      </c>
      <c r="H35" s="3">
        <v>99.9</v>
      </c>
      <c r="I35" s="3" t="s">
        <v>77</v>
      </c>
      <c r="J35">
        <v>3003</v>
      </c>
    </row>
    <row r="36" spans="1:10">
      <c r="A36" s="3" t="s">
        <v>111</v>
      </c>
      <c r="B36" s="4" t="s">
        <v>67</v>
      </c>
      <c r="C36" s="5">
        <v>12.7</v>
      </c>
      <c r="D36" s="5">
        <v>32</v>
      </c>
      <c r="E36" s="3">
        <v>49720</v>
      </c>
      <c r="F36" s="3">
        <v>3750</v>
      </c>
      <c r="G36" s="3">
        <v>1600</v>
      </c>
      <c r="H36" s="3">
        <v>87.9</v>
      </c>
      <c r="I36" s="3" t="s">
        <v>77</v>
      </c>
      <c r="J36">
        <v>3004</v>
      </c>
    </row>
    <row r="37" spans="1:10">
      <c r="A37" s="3" t="s">
        <v>112</v>
      </c>
      <c r="B37" s="4" t="s">
        <v>67</v>
      </c>
      <c r="C37" s="5">
        <v>16</v>
      </c>
      <c r="D37" s="5">
        <v>30</v>
      </c>
      <c r="E37" s="3">
        <v>44000</v>
      </c>
      <c r="F37" s="3">
        <v>2800</v>
      </c>
      <c r="G37" s="3">
        <v>890</v>
      </c>
      <c r="H37" s="3">
        <v>107.2</v>
      </c>
      <c r="I37" s="3" t="s">
        <v>70</v>
      </c>
      <c r="J37">
        <v>3003</v>
      </c>
    </row>
    <row r="38" spans="1:10">
      <c r="A38" s="3" t="s">
        <v>113</v>
      </c>
      <c r="B38" s="4" t="s">
        <v>67</v>
      </c>
      <c r="C38" s="5">
        <v>16</v>
      </c>
      <c r="D38" s="5">
        <v>30</v>
      </c>
      <c r="E38" s="3">
        <v>44000</v>
      </c>
      <c r="F38" s="3">
        <v>2800</v>
      </c>
      <c r="G38" s="3">
        <v>890</v>
      </c>
      <c r="H38" s="3">
        <v>97.5</v>
      </c>
      <c r="I38" s="3" t="s">
        <v>70</v>
      </c>
      <c r="J38">
        <v>3004</v>
      </c>
    </row>
    <row r="39" spans="1:10">
      <c r="A39" s="3" t="s">
        <v>114</v>
      </c>
      <c r="B39" s="4" t="s">
        <v>67</v>
      </c>
      <c r="C39" s="5">
        <v>12.7</v>
      </c>
      <c r="D39" s="5">
        <v>24</v>
      </c>
      <c r="E39" s="3">
        <v>37400</v>
      </c>
      <c r="F39" s="3">
        <v>2800</v>
      </c>
      <c r="G39" s="3">
        <v>890</v>
      </c>
      <c r="H39" s="3">
        <v>92.2</v>
      </c>
      <c r="I39" s="3" t="s">
        <v>70</v>
      </c>
      <c r="J39">
        <v>3003</v>
      </c>
    </row>
    <row r="40" spans="1:10">
      <c r="A40" s="3" t="s">
        <v>115</v>
      </c>
      <c r="B40" s="4" t="s">
        <v>67</v>
      </c>
      <c r="C40" s="5">
        <v>12.7</v>
      </c>
      <c r="D40" s="5">
        <v>24</v>
      </c>
      <c r="E40" s="3">
        <v>37400</v>
      </c>
      <c r="F40" s="3">
        <v>2800</v>
      </c>
      <c r="G40" s="3">
        <v>890</v>
      </c>
      <c r="H40" s="3">
        <v>82.7</v>
      </c>
      <c r="I40" s="3" t="s">
        <v>70</v>
      </c>
      <c r="J40">
        <v>3004</v>
      </c>
    </row>
    <row r="41" spans="1:10">
      <c r="A41" s="3" t="s">
        <v>116</v>
      </c>
      <c r="B41" s="4" t="s">
        <v>67</v>
      </c>
      <c r="C41" s="5">
        <v>10.4</v>
      </c>
      <c r="D41" s="5">
        <v>12</v>
      </c>
      <c r="E41" s="3">
        <v>31020</v>
      </c>
      <c r="F41" s="3">
        <v>2000</v>
      </c>
      <c r="G41" s="3">
        <v>220</v>
      </c>
      <c r="H41" s="3">
        <v>72.4</v>
      </c>
      <c r="I41" s="3" t="s">
        <v>68</v>
      </c>
      <c r="J41">
        <v>2002</v>
      </c>
    </row>
    <row r="42" spans="1:10">
      <c r="A42" s="3" t="s">
        <v>117</v>
      </c>
      <c r="B42" s="4" t="s">
        <v>67</v>
      </c>
      <c r="C42" s="5">
        <v>10.4</v>
      </c>
      <c r="D42" s="5">
        <v>12</v>
      </c>
      <c r="E42" s="3">
        <v>31020</v>
      </c>
      <c r="F42" s="3">
        <v>2000</v>
      </c>
      <c r="G42" s="3">
        <v>220</v>
      </c>
      <c r="H42" s="3">
        <v>62.2</v>
      </c>
      <c r="I42" s="3" t="s">
        <v>68</v>
      </c>
      <c r="J42">
        <v>2003</v>
      </c>
    </row>
    <row r="43" spans="1:10">
      <c r="A43" s="3" t="s">
        <v>118</v>
      </c>
      <c r="B43" s="4" t="s">
        <v>67</v>
      </c>
      <c r="C43" s="5">
        <v>7</v>
      </c>
      <c r="D43" s="5">
        <v>7</v>
      </c>
      <c r="E43" s="3">
        <v>13640</v>
      </c>
      <c r="F43" s="3">
        <v>1600</v>
      </c>
      <c r="G43" s="3">
        <v>350</v>
      </c>
      <c r="H43" s="3">
        <v>64</v>
      </c>
      <c r="I43" s="3" t="s">
        <v>119</v>
      </c>
      <c r="J43">
        <v>2002</v>
      </c>
    </row>
    <row r="44" spans="1:10">
      <c r="A44" s="3" t="s">
        <v>120</v>
      </c>
      <c r="B44" s="4" t="s">
        <v>67</v>
      </c>
      <c r="C44" s="5">
        <v>7</v>
      </c>
      <c r="D44" s="5">
        <v>7</v>
      </c>
      <c r="E44" s="3">
        <v>13640</v>
      </c>
      <c r="F44" s="3">
        <v>1600</v>
      </c>
      <c r="G44" s="3">
        <v>350</v>
      </c>
      <c r="H44" s="3">
        <v>54</v>
      </c>
      <c r="I44" s="3" t="s">
        <v>119</v>
      </c>
      <c r="J44">
        <v>2003</v>
      </c>
    </row>
    <row r="45" spans="1:10">
      <c r="A45" s="3" t="s">
        <v>121</v>
      </c>
      <c r="B45" s="4" t="s">
        <v>122</v>
      </c>
      <c r="C45" s="5">
        <v>50</v>
      </c>
      <c r="D45" s="5">
        <v>2260</v>
      </c>
      <c r="E45" s="3">
        <v>271000</v>
      </c>
      <c r="F45" s="3">
        <v>51000</v>
      </c>
      <c r="G45" s="3">
        <v>17760</v>
      </c>
      <c r="H45" s="3">
        <v>243</v>
      </c>
      <c r="I45" s="3" t="s">
        <v>87</v>
      </c>
      <c r="J45">
        <v>1052</v>
      </c>
    </row>
    <row r="46" spans="1:10">
      <c r="A46" s="3" t="s">
        <v>123</v>
      </c>
      <c r="B46" s="4" t="s">
        <v>122</v>
      </c>
      <c r="C46" s="5">
        <v>50</v>
      </c>
      <c r="D46" s="5">
        <v>850</v>
      </c>
      <c r="E46" s="3">
        <v>167000</v>
      </c>
      <c r="F46" s="3">
        <v>20000</v>
      </c>
      <c r="G46" s="3">
        <v>6660</v>
      </c>
      <c r="H46" s="3">
        <v>213</v>
      </c>
      <c r="I46" s="3" t="s">
        <v>124</v>
      </c>
      <c r="J46">
        <v>1042</v>
      </c>
    </row>
    <row r="47" spans="1:10">
      <c r="A47" s="3" t="s">
        <v>125</v>
      </c>
      <c r="B47" s="4" t="s">
        <v>122</v>
      </c>
      <c r="C47" s="5">
        <v>25</v>
      </c>
      <c r="D47" s="5">
        <v>425</v>
      </c>
      <c r="E47" s="3">
        <v>126000</v>
      </c>
      <c r="F47" s="3">
        <v>20000</v>
      </c>
      <c r="G47" s="3">
        <v>6660</v>
      </c>
      <c r="H47" s="3">
        <v>162</v>
      </c>
      <c r="I47" s="3" t="s">
        <v>124</v>
      </c>
      <c r="J47">
        <v>1041</v>
      </c>
    </row>
    <row r="48" spans="1:10">
      <c r="A48" s="3" t="s">
        <v>126</v>
      </c>
      <c r="B48" s="4" t="s">
        <v>122</v>
      </c>
      <c r="C48" s="5">
        <v>50</v>
      </c>
      <c r="D48" s="5">
        <v>424</v>
      </c>
      <c r="E48" s="3">
        <v>111400</v>
      </c>
      <c r="F48" s="3">
        <v>11120</v>
      </c>
      <c r="G48" s="3">
        <v>3335</v>
      </c>
      <c r="H48" s="3">
        <v>222</v>
      </c>
      <c r="I48" s="3" t="s">
        <v>95</v>
      </c>
      <c r="J48">
        <v>1032</v>
      </c>
    </row>
    <row r="49" spans="1:10">
      <c r="A49" s="3" t="s">
        <v>127</v>
      </c>
      <c r="B49" s="4" t="s">
        <v>122</v>
      </c>
      <c r="C49" s="5">
        <v>25</v>
      </c>
      <c r="D49" s="5">
        <v>215</v>
      </c>
      <c r="E49" s="3">
        <v>91000</v>
      </c>
      <c r="F49" s="3">
        <v>11120</v>
      </c>
      <c r="G49" s="3">
        <v>3335</v>
      </c>
      <c r="H49" s="3">
        <v>155.5</v>
      </c>
      <c r="I49" s="3" t="s">
        <v>95</v>
      </c>
      <c r="J49">
        <v>1031</v>
      </c>
    </row>
    <row r="50" spans="1:10">
      <c r="A50" s="3" t="s">
        <v>128</v>
      </c>
      <c r="B50" s="4" t="s">
        <v>122</v>
      </c>
      <c r="C50" s="5">
        <v>50</v>
      </c>
      <c r="D50" s="5">
        <v>424</v>
      </c>
      <c r="E50" s="3">
        <v>98962</v>
      </c>
      <c r="F50" s="3">
        <v>11120</v>
      </c>
      <c r="G50" s="3">
        <v>3335</v>
      </c>
      <c r="H50" s="3">
        <v>222</v>
      </c>
      <c r="I50" s="3" t="s">
        <v>100</v>
      </c>
      <c r="J50">
        <v>1032</v>
      </c>
    </row>
    <row r="51" spans="1:10">
      <c r="A51" s="3" t="s">
        <v>129</v>
      </c>
      <c r="B51" s="4" t="s">
        <v>122</v>
      </c>
      <c r="C51" s="5">
        <v>25</v>
      </c>
      <c r="D51" s="5">
        <v>215</v>
      </c>
      <c r="E51" s="3">
        <v>75700</v>
      </c>
      <c r="F51" s="3">
        <v>11120</v>
      </c>
      <c r="G51" s="3">
        <v>3335</v>
      </c>
      <c r="H51" s="3">
        <v>155.5</v>
      </c>
      <c r="I51" s="3" t="s">
        <v>100</v>
      </c>
      <c r="J51">
        <v>1031</v>
      </c>
    </row>
    <row r="52" spans="1:10">
      <c r="A52" s="3" t="s">
        <v>130</v>
      </c>
      <c r="B52" s="4" t="s">
        <v>122</v>
      </c>
      <c r="C52" s="5">
        <v>25</v>
      </c>
      <c r="D52" s="5">
        <v>81</v>
      </c>
      <c r="E52" s="3">
        <v>77000</v>
      </c>
      <c r="F52" s="3">
        <v>4400</v>
      </c>
      <c r="G52" s="3">
        <v>2016</v>
      </c>
      <c r="H52" s="3">
        <v>142.7</v>
      </c>
      <c r="I52" s="3" t="s">
        <v>73</v>
      </c>
      <c r="J52">
        <v>1001</v>
      </c>
    </row>
    <row r="53" spans="1:10">
      <c r="A53" s="3" t="s">
        <v>131</v>
      </c>
      <c r="B53" s="4" t="s">
        <v>122</v>
      </c>
      <c r="C53" s="5">
        <v>25</v>
      </c>
      <c r="D53" s="5">
        <v>81</v>
      </c>
      <c r="E53" s="3">
        <v>77000</v>
      </c>
      <c r="F53" s="3">
        <v>4400</v>
      </c>
      <c r="G53" s="3">
        <v>2016</v>
      </c>
      <c r="H53" s="3">
        <v>130</v>
      </c>
      <c r="I53" s="3" t="s">
        <v>73</v>
      </c>
      <c r="J53">
        <v>1022</v>
      </c>
    </row>
    <row r="54" spans="1:10">
      <c r="A54" s="3" t="s">
        <v>132</v>
      </c>
      <c r="B54" s="4" t="s">
        <v>122</v>
      </c>
      <c r="C54" s="5">
        <v>25</v>
      </c>
      <c r="D54" s="5">
        <v>81</v>
      </c>
      <c r="E54" s="3">
        <v>77000</v>
      </c>
      <c r="F54" s="3">
        <v>4400</v>
      </c>
      <c r="G54" s="3">
        <v>2016</v>
      </c>
      <c r="H54" s="3">
        <v>142.7</v>
      </c>
      <c r="I54" s="3" t="s">
        <v>133</v>
      </c>
      <c r="J54">
        <v>1001</v>
      </c>
    </row>
    <row r="55" spans="1:10">
      <c r="A55" s="3" t="s">
        <v>134</v>
      </c>
      <c r="B55" s="4" t="s">
        <v>122</v>
      </c>
      <c r="C55" s="5">
        <v>25</v>
      </c>
      <c r="D55" s="5">
        <v>81</v>
      </c>
      <c r="E55" s="3">
        <v>77000</v>
      </c>
      <c r="F55" s="3">
        <v>4400</v>
      </c>
      <c r="G55" s="3">
        <v>2016</v>
      </c>
      <c r="H55" s="3">
        <v>130</v>
      </c>
      <c r="I55" s="3" t="s">
        <v>133</v>
      </c>
      <c r="J55">
        <v>1022</v>
      </c>
    </row>
    <row r="56" spans="1:10">
      <c r="A56" s="3" t="s">
        <v>135</v>
      </c>
      <c r="B56" s="4" t="s">
        <v>122</v>
      </c>
      <c r="C56" s="5">
        <v>12</v>
      </c>
      <c r="D56" s="5">
        <v>31</v>
      </c>
      <c r="E56" s="3">
        <v>35200</v>
      </c>
      <c r="F56" s="3">
        <v>3500</v>
      </c>
      <c r="G56" s="3">
        <v>1120</v>
      </c>
      <c r="H56" s="3">
        <v>110.5</v>
      </c>
      <c r="I56" s="3" t="s">
        <v>77</v>
      </c>
      <c r="J56">
        <v>1021</v>
      </c>
    </row>
    <row r="57" spans="1:10">
      <c r="A57" s="3" t="s">
        <v>136</v>
      </c>
      <c r="B57" s="4" t="s">
        <v>122</v>
      </c>
      <c r="C57" s="5">
        <v>12</v>
      </c>
      <c r="D57" s="5">
        <v>31</v>
      </c>
      <c r="E57" s="3">
        <v>35200</v>
      </c>
      <c r="F57" s="3">
        <v>3500</v>
      </c>
      <c r="G57" s="3">
        <v>1120</v>
      </c>
      <c r="H57" s="3">
        <v>98.6</v>
      </c>
      <c r="I57" s="3" t="s">
        <v>77</v>
      </c>
      <c r="J57">
        <v>1022</v>
      </c>
    </row>
    <row r="58" spans="1:10">
      <c r="A58" s="3" t="s">
        <v>137</v>
      </c>
      <c r="B58" s="4" t="s">
        <v>122</v>
      </c>
      <c r="C58" s="5">
        <v>12.7</v>
      </c>
      <c r="D58" s="5">
        <v>19</v>
      </c>
      <c r="E58" s="3">
        <v>37400</v>
      </c>
      <c r="F58" s="3">
        <v>2000</v>
      </c>
      <c r="G58" s="3">
        <v>890</v>
      </c>
      <c r="H58" s="3">
        <v>110.7</v>
      </c>
      <c r="I58" s="3" t="s">
        <v>138</v>
      </c>
      <c r="J58">
        <v>1011</v>
      </c>
    </row>
    <row r="59" spans="1:10">
      <c r="A59" s="3" t="s">
        <v>139</v>
      </c>
      <c r="B59" s="4" t="s">
        <v>122</v>
      </c>
      <c r="C59" s="5">
        <v>12.7</v>
      </c>
      <c r="D59" s="5">
        <v>19</v>
      </c>
      <c r="E59" s="3">
        <v>37400</v>
      </c>
      <c r="F59" s="3">
        <v>2000</v>
      </c>
      <c r="G59" s="3">
        <v>890</v>
      </c>
      <c r="H59" s="3">
        <v>100.6</v>
      </c>
      <c r="I59" s="3" t="s">
        <v>138</v>
      </c>
      <c r="J59">
        <v>1012</v>
      </c>
    </row>
    <row r="60" spans="1:10">
      <c r="A60" s="3" t="s">
        <v>140</v>
      </c>
      <c r="B60" s="4" t="s">
        <v>122</v>
      </c>
      <c r="C60" s="5">
        <v>10</v>
      </c>
      <c r="D60" s="5">
        <v>7</v>
      </c>
      <c r="E60" s="3">
        <v>22000</v>
      </c>
      <c r="F60" s="3">
        <v>890</v>
      </c>
      <c r="G60" s="3">
        <v>440</v>
      </c>
      <c r="H60" s="3">
        <v>91.2</v>
      </c>
      <c r="I60" s="3" t="s">
        <v>70</v>
      </c>
      <c r="J60">
        <v>1011</v>
      </c>
    </row>
    <row r="61" spans="1:10">
      <c r="A61" s="3" t="s">
        <v>141</v>
      </c>
      <c r="B61" s="4" t="s">
        <v>122</v>
      </c>
      <c r="C61" s="5">
        <v>10</v>
      </c>
      <c r="D61" s="5">
        <v>7</v>
      </c>
      <c r="E61" s="3">
        <v>22000</v>
      </c>
      <c r="F61" s="3">
        <v>890</v>
      </c>
      <c r="G61" s="3">
        <v>440</v>
      </c>
      <c r="H61" s="3">
        <v>81.8</v>
      </c>
      <c r="I61" s="3" t="s">
        <v>70</v>
      </c>
      <c r="J61">
        <v>1012</v>
      </c>
    </row>
    <row r="62" spans="1:10">
      <c r="A62" s="3" t="s">
        <v>142</v>
      </c>
      <c r="B62" s="4" t="s">
        <v>122</v>
      </c>
      <c r="C62" s="5">
        <v>90</v>
      </c>
      <c r="D62" s="5">
        <v>4000</v>
      </c>
      <c r="E62" s="3">
        <v>652000</v>
      </c>
      <c r="F62" s="3">
        <v>67000</v>
      </c>
      <c r="G62" s="3">
        <v>12000</v>
      </c>
      <c r="H62" s="3">
        <v>323</v>
      </c>
      <c r="I62" s="3" t="s">
        <v>143</v>
      </c>
      <c r="J62">
        <v>1052</v>
      </c>
    </row>
    <row r="63" spans="1:10">
      <c r="A63" s="3" t="s">
        <v>144</v>
      </c>
      <c r="B63" s="4" t="s">
        <v>122</v>
      </c>
      <c r="C63" s="5">
        <v>50</v>
      </c>
      <c r="D63" s="5">
        <v>2300</v>
      </c>
      <c r="E63" s="3">
        <v>372000</v>
      </c>
      <c r="F63" s="3">
        <v>67000</v>
      </c>
      <c r="G63" s="3">
        <v>12000</v>
      </c>
      <c r="H63" s="3">
        <v>245</v>
      </c>
      <c r="I63" s="3" t="s">
        <v>143</v>
      </c>
      <c r="J63">
        <v>1052</v>
      </c>
    </row>
    <row r="64" spans="1:10">
      <c r="A64" s="3" t="s">
        <v>145</v>
      </c>
      <c r="B64" s="4" t="s">
        <v>122</v>
      </c>
      <c r="C64" s="5">
        <v>165</v>
      </c>
      <c r="D64" s="5">
        <v>7300</v>
      </c>
      <c r="E64" s="3">
        <v>1215000</v>
      </c>
      <c r="F64" s="3">
        <v>67000</v>
      </c>
      <c r="G64" s="3">
        <v>12000</v>
      </c>
      <c r="H64" s="3">
        <v>494</v>
      </c>
      <c r="I64" s="3" t="s">
        <v>143</v>
      </c>
      <c r="J64">
        <v>1052</v>
      </c>
    </row>
    <row r="65" spans="1:10">
      <c r="A65" s="3" t="s">
        <v>146</v>
      </c>
      <c r="B65" s="4" t="s">
        <v>122</v>
      </c>
      <c r="C65" s="5">
        <v>125</v>
      </c>
      <c r="D65" s="5">
        <v>5700</v>
      </c>
      <c r="E65" s="3">
        <v>933000</v>
      </c>
      <c r="F65" s="3">
        <v>67000</v>
      </c>
      <c r="G65" s="3">
        <v>12000</v>
      </c>
      <c r="H65" s="3">
        <v>399</v>
      </c>
      <c r="I65" s="3" t="s">
        <v>143</v>
      </c>
      <c r="J65">
        <v>1052</v>
      </c>
    </row>
    <row r="66" spans="1:10">
      <c r="A66" s="3" t="s">
        <v>147</v>
      </c>
      <c r="B66" s="4" t="s">
        <v>122</v>
      </c>
      <c r="C66" s="5">
        <v>50</v>
      </c>
      <c r="D66" s="5">
        <v>2260</v>
      </c>
      <c r="E66" s="3">
        <v>271000</v>
      </c>
      <c r="F66" s="3">
        <v>51000</v>
      </c>
      <c r="G66" s="3">
        <v>6660</v>
      </c>
      <c r="H66" s="3">
        <v>226</v>
      </c>
      <c r="I66" s="3" t="s">
        <v>87</v>
      </c>
      <c r="J66">
        <v>1051</v>
      </c>
    </row>
    <row r="67" spans="1:10">
      <c r="A67" s="3" t="s">
        <v>148</v>
      </c>
      <c r="B67" s="4" t="s">
        <v>122</v>
      </c>
      <c r="C67" s="5">
        <v>150</v>
      </c>
      <c r="D67" s="5">
        <v>6780</v>
      </c>
      <c r="E67" s="3">
        <v>421000</v>
      </c>
      <c r="F67" s="3">
        <v>51000</v>
      </c>
      <c r="G67" s="3">
        <v>6660</v>
      </c>
      <c r="H67" s="3">
        <v>456</v>
      </c>
      <c r="I67" s="3" t="s">
        <v>87</v>
      </c>
      <c r="J67">
        <v>1052</v>
      </c>
    </row>
    <row r="68" spans="1:10">
      <c r="A68" s="3" t="s">
        <v>149</v>
      </c>
      <c r="B68" s="4" t="s">
        <v>122</v>
      </c>
      <c r="C68" s="5">
        <v>100</v>
      </c>
      <c r="D68" s="5">
        <v>4520</v>
      </c>
      <c r="E68" s="3">
        <v>362000</v>
      </c>
      <c r="F68" s="3">
        <v>51000</v>
      </c>
      <c r="G68" s="3">
        <v>6660</v>
      </c>
      <c r="H68" s="3">
        <v>328</v>
      </c>
      <c r="I68" s="3" t="s">
        <v>87</v>
      </c>
      <c r="J68">
        <v>1052</v>
      </c>
    </row>
    <row r="69" spans="1:10">
      <c r="A69" s="3" t="s">
        <v>150</v>
      </c>
      <c r="B69" s="4" t="s">
        <v>122</v>
      </c>
      <c r="C69" s="5">
        <v>75</v>
      </c>
      <c r="D69" s="5">
        <v>1300</v>
      </c>
      <c r="E69" s="3">
        <v>201000</v>
      </c>
      <c r="F69" s="3">
        <v>20000</v>
      </c>
      <c r="G69" s="3">
        <v>2890</v>
      </c>
      <c r="H69" s="3">
        <v>246</v>
      </c>
      <c r="I69" s="3" t="s">
        <v>124</v>
      </c>
      <c r="J69">
        <v>1042</v>
      </c>
    </row>
    <row r="70" spans="1:10">
      <c r="A70" s="3" t="s">
        <v>151</v>
      </c>
      <c r="B70" s="4" t="s">
        <v>122</v>
      </c>
      <c r="C70" s="5">
        <v>50</v>
      </c>
      <c r="D70" s="5">
        <v>850</v>
      </c>
      <c r="E70" s="3">
        <v>167000</v>
      </c>
      <c r="F70" s="3">
        <v>20000</v>
      </c>
      <c r="G70" s="3">
        <v>2890</v>
      </c>
      <c r="H70" s="3">
        <v>195</v>
      </c>
      <c r="I70" s="3" t="s">
        <v>124</v>
      </c>
      <c r="J70">
        <v>1042</v>
      </c>
    </row>
    <row r="71" spans="1:10">
      <c r="A71" s="3" t="s">
        <v>152</v>
      </c>
      <c r="B71" s="4" t="s">
        <v>122</v>
      </c>
      <c r="C71" s="5">
        <v>25</v>
      </c>
      <c r="D71" s="5">
        <v>425</v>
      </c>
      <c r="E71" s="3">
        <v>126000</v>
      </c>
      <c r="F71" s="3">
        <v>20000</v>
      </c>
      <c r="G71" s="3">
        <v>2890</v>
      </c>
      <c r="H71" s="3">
        <v>144</v>
      </c>
      <c r="I71" s="3" t="s">
        <v>124</v>
      </c>
      <c r="J71">
        <v>1041</v>
      </c>
    </row>
    <row r="72" spans="1:10">
      <c r="A72" s="3" t="s">
        <v>153</v>
      </c>
      <c r="B72" s="4" t="s">
        <v>122</v>
      </c>
      <c r="C72" s="5">
        <v>50</v>
      </c>
      <c r="D72" s="5">
        <v>424</v>
      </c>
      <c r="E72" s="3">
        <v>111400</v>
      </c>
      <c r="F72" s="3">
        <v>11120</v>
      </c>
      <c r="G72" s="3">
        <v>2220</v>
      </c>
      <c r="H72" s="3">
        <v>217</v>
      </c>
      <c r="I72" s="3" t="s">
        <v>95</v>
      </c>
      <c r="J72">
        <v>1032</v>
      </c>
    </row>
    <row r="73" spans="1:10">
      <c r="A73" s="3" t="s">
        <v>154</v>
      </c>
      <c r="B73" s="4" t="s">
        <v>122</v>
      </c>
      <c r="C73" s="5">
        <v>25</v>
      </c>
      <c r="D73" s="5">
        <v>215</v>
      </c>
      <c r="E73" s="3">
        <v>91000</v>
      </c>
      <c r="F73" s="3">
        <v>11120</v>
      </c>
      <c r="G73" s="3">
        <v>2220</v>
      </c>
      <c r="H73" s="3">
        <v>150</v>
      </c>
      <c r="I73" s="3" t="s">
        <v>95</v>
      </c>
      <c r="J73">
        <v>1031</v>
      </c>
    </row>
    <row r="74" spans="1:10">
      <c r="A74" s="3" t="s">
        <v>155</v>
      </c>
      <c r="B74" s="4" t="s">
        <v>122</v>
      </c>
      <c r="C74" s="5">
        <v>50</v>
      </c>
      <c r="D74" s="5">
        <v>424</v>
      </c>
      <c r="E74" s="3">
        <v>98962</v>
      </c>
      <c r="F74" s="3">
        <v>11120</v>
      </c>
      <c r="G74" s="3">
        <v>2220</v>
      </c>
      <c r="H74" s="3">
        <v>217</v>
      </c>
      <c r="I74" s="3" t="s">
        <v>100</v>
      </c>
      <c r="J74">
        <v>1032</v>
      </c>
    </row>
    <row r="75" spans="1:10">
      <c r="A75" s="3" t="s">
        <v>156</v>
      </c>
      <c r="B75" s="4" t="s">
        <v>122</v>
      </c>
      <c r="C75" s="5">
        <v>25</v>
      </c>
      <c r="D75" s="5">
        <v>215</v>
      </c>
      <c r="E75" s="3">
        <v>75700</v>
      </c>
      <c r="F75" s="3">
        <v>11120</v>
      </c>
      <c r="G75" s="3">
        <v>2220</v>
      </c>
      <c r="H75" s="3">
        <v>150</v>
      </c>
      <c r="I75" s="3" t="s">
        <v>100</v>
      </c>
      <c r="J75">
        <v>1031</v>
      </c>
    </row>
    <row r="76" spans="1:10">
      <c r="A76" s="3" t="s">
        <v>157</v>
      </c>
      <c r="B76" s="4" t="s">
        <v>122</v>
      </c>
      <c r="C76" s="5">
        <v>25</v>
      </c>
      <c r="D76" s="5">
        <v>81</v>
      </c>
      <c r="E76" s="3">
        <v>77000</v>
      </c>
      <c r="F76" s="3">
        <v>4400</v>
      </c>
      <c r="G76" s="3">
        <v>1330</v>
      </c>
      <c r="H76" s="3">
        <v>142.7</v>
      </c>
      <c r="I76" s="3" t="s">
        <v>73</v>
      </c>
      <c r="J76">
        <v>1001</v>
      </c>
    </row>
    <row r="77" spans="1:10">
      <c r="A77" s="3" t="s">
        <v>158</v>
      </c>
      <c r="B77" s="4" t="s">
        <v>122</v>
      </c>
      <c r="C77" s="5">
        <v>25</v>
      </c>
      <c r="D77" s="5">
        <v>81</v>
      </c>
      <c r="E77" s="3">
        <v>77000</v>
      </c>
      <c r="F77" s="3">
        <v>4400</v>
      </c>
      <c r="G77" s="3">
        <v>1330</v>
      </c>
      <c r="H77" s="3">
        <v>130</v>
      </c>
      <c r="I77" s="3" t="s">
        <v>73</v>
      </c>
      <c r="J77">
        <v>1022</v>
      </c>
    </row>
    <row r="78" spans="1:10">
      <c r="A78" s="3" t="s">
        <v>159</v>
      </c>
      <c r="B78" s="4" t="s">
        <v>122</v>
      </c>
      <c r="C78" s="5">
        <v>25</v>
      </c>
      <c r="D78" s="5">
        <v>81</v>
      </c>
      <c r="E78" s="3">
        <v>77000</v>
      </c>
      <c r="F78" s="3">
        <v>4400</v>
      </c>
      <c r="G78" s="3">
        <v>1330</v>
      </c>
      <c r="H78" s="3">
        <v>142.7</v>
      </c>
      <c r="I78" s="3" t="s">
        <v>133</v>
      </c>
      <c r="J78">
        <v>1001</v>
      </c>
    </row>
    <row r="79" spans="1:10">
      <c r="A79" s="3" t="s">
        <v>160</v>
      </c>
      <c r="B79" s="4" t="s">
        <v>122</v>
      </c>
      <c r="C79" s="5">
        <v>25</v>
      </c>
      <c r="D79" s="5">
        <v>81</v>
      </c>
      <c r="E79" s="3">
        <v>77000</v>
      </c>
      <c r="F79" s="3">
        <v>4400</v>
      </c>
      <c r="G79" s="3">
        <v>1330</v>
      </c>
      <c r="H79" s="3">
        <v>130</v>
      </c>
      <c r="I79" s="3" t="s">
        <v>133</v>
      </c>
      <c r="J79">
        <v>1022</v>
      </c>
    </row>
    <row r="80" spans="1:10">
      <c r="A80" s="3" t="s">
        <v>161</v>
      </c>
      <c r="B80" s="4" t="s">
        <v>122</v>
      </c>
      <c r="C80" s="5">
        <v>12</v>
      </c>
      <c r="D80" s="5">
        <v>31</v>
      </c>
      <c r="E80" s="3">
        <v>35200</v>
      </c>
      <c r="F80" s="3">
        <v>3500</v>
      </c>
      <c r="G80" s="3">
        <v>670</v>
      </c>
      <c r="H80" s="3">
        <v>110.5</v>
      </c>
      <c r="I80" s="3" t="s">
        <v>77</v>
      </c>
      <c r="J80">
        <v>1021</v>
      </c>
    </row>
    <row r="81" spans="1:10">
      <c r="A81" s="3" t="s">
        <v>162</v>
      </c>
      <c r="B81" s="4" t="s">
        <v>122</v>
      </c>
      <c r="C81" s="5">
        <v>12</v>
      </c>
      <c r="D81" s="5">
        <v>31</v>
      </c>
      <c r="E81" s="3">
        <v>35200</v>
      </c>
      <c r="F81" s="3">
        <v>3500</v>
      </c>
      <c r="G81" s="3">
        <v>670</v>
      </c>
      <c r="H81" s="3">
        <v>98.6</v>
      </c>
      <c r="I81" s="3" t="s">
        <v>77</v>
      </c>
      <c r="J81">
        <v>1022</v>
      </c>
    </row>
    <row r="82" spans="1:10">
      <c r="A82" s="3" t="s">
        <v>163</v>
      </c>
      <c r="B82" s="4" t="s">
        <v>122</v>
      </c>
      <c r="C82" s="5">
        <v>12.7</v>
      </c>
      <c r="D82" s="5">
        <v>19</v>
      </c>
      <c r="E82" s="3">
        <v>37400</v>
      </c>
      <c r="F82" s="3">
        <v>2000</v>
      </c>
      <c r="G82" s="3">
        <v>530</v>
      </c>
      <c r="H82" s="3">
        <v>110.7</v>
      </c>
      <c r="I82" s="3" t="s">
        <v>138</v>
      </c>
      <c r="J82">
        <v>1011</v>
      </c>
    </row>
    <row r="83" spans="1:10">
      <c r="A83" s="3" t="s">
        <v>164</v>
      </c>
      <c r="B83" s="4" t="s">
        <v>122</v>
      </c>
      <c r="C83" s="5">
        <v>12.7</v>
      </c>
      <c r="D83" s="5">
        <v>19</v>
      </c>
      <c r="E83" s="3">
        <v>37400</v>
      </c>
      <c r="F83" s="3">
        <v>2000</v>
      </c>
      <c r="G83" s="3">
        <v>530</v>
      </c>
      <c r="H83" s="3">
        <v>100.6</v>
      </c>
      <c r="I83" s="3" t="s">
        <v>138</v>
      </c>
      <c r="J83">
        <v>1012</v>
      </c>
    </row>
    <row r="84" spans="1:10">
      <c r="A84" s="3" t="s">
        <v>165</v>
      </c>
      <c r="B84" s="4" t="s">
        <v>122</v>
      </c>
      <c r="C84" s="5">
        <v>10</v>
      </c>
      <c r="D84" s="5">
        <v>7</v>
      </c>
      <c r="E84" s="3">
        <v>22000</v>
      </c>
      <c r="F84" s="3">
        <v>890</v>
      </c>
      <c r="G84" s="3">
        <v>350</v>
      </c>
      <c r="H84" s="3">
        <v>91.2</v>
      </c>
      <c r="I84" s="3" t="s">
        <v>70</v>
      </c>
      <c r="J84">
        <v>1011</v>
      </c>
    </row>
    <row r="85" spans="1:10">
      <c r="A85" s="3" t="s">
        <v>166</v>
      </c>
      <c r="B85" s="4" t="s">
        <v>122</v>
      </c>
      <c r="C85" s="5">
        <v>10</v>
      </c>
      <c r="D85" s="5">
        <v>7</v>
      </c>
      <c r="E85" s="3">
        <v>22000</v>
      </c>
      <c r="F85" s="3">
        <v>890</v>
      </c>
      <c r="G85" s="3">
        <v>350</v>
      </c>
      <c r="H85" s="3">
        <v>81.8</v>
      </c>
      <c r="I85" s="3" t="s">
        <v>70</v>
      </c>
      <c r="J85">
        <v>1012</v>
      </c>
    </row>
    <row r="86" spans="1:10">
      <c r="A86" s="3" t="s">
        <v>167</v>
      </c>
      <c r="B86" s="4" t="s">
        <v>122</v>
      </c>
      <c r="C86" s="5">
        <v>10</v>
      </c>
      <c r="D86" s="5">
        <v>7</v>
      </c>
      <c r="E86" s="3">
        <v>20900</v>
      </c>
      <c r="F86" s="3">
        <v>890</v>
      </c>
      <c r="G86" s="3">
        <v>350</v>
      </c>
      <c r="H86" s="3">
        <v>91.7</v>
      </c>
      <c r="I86" s="3" t="s">
        <v>68</v>
      </c>
      <c r="J86">
        <v>1011</v>
      </c>
    </row>
    <row r="87" spans="1:10">
      <c r="A87" s="3" t="s">
        <v>168</v>
      </c>
      <c r="B87" s="4" t="s">
        <v>122</v>
      </c>
      <c r="C87" s="5">
        <v>10</v>
      </c>
      <c r="D87" s="5">
        <v>7</v>
      </c>
      <c r="E87">
        <v>20900</v>
      </c>
      <c r="F87" s="3">
        <v>890</v>
      </c>
      <c r="G87">
        <v>350</v>
      </c>
      <c r="H87" s="3">
        <v>81.8</v>
      </c>
      <c r="I87" s="3" t="s">
        <v>68</v>
      </c>
      <c r="J87">
        <v>1012</v>
      </c>
    </row>
    <row r="88" spans="1:10">
      <c r="A88" s="3" t="s">
        <v>169</v>
      </c>
      <c r="B88" s="4" t="s">
        <v>122</v>
      </c>
      <c r="C88" s="5">
        <v>7</v>
      </c>
      <c r="D88" s="5">
        <v>7</v>
      </c>
      <c r="E88">
        <v>13600</v>
      </c>
      <c r="F88" s="3">
        <v>1220</v>
      </c>
      <c r="G88">
        <v>350</v>
      </c>
      <c r="H88" s="3">
        <v>67</v>
      </c>
      <c r="I88" s="3" t="s">
        <v>119</v>
      </c>
      <c r="J88">
        <v>1011</v>
      </c>
    </row>
    <row r="89" spans="1:10">
      <c r="A89" s="3" t="s">
        <v>170</v>
      </c>
      <c r="B89" s="4" t="s">
        <v>122</v>
      </c>
      <c r="C89" s="5">
        <v>7</v>
      </c>
      <c r="D89" s="5">
        <v>7</v>
      </c>
      <c r="E89">
        <v>13600</v>
      </c>
      <c r="F89" s="3">
        <v>1220</v>
      </c>
      <c r="G89">
        <v>350</v>
      </c>
      <c r="H89" s="3">
        <v>57</v>
      </c>
      <c r="I89" s="3" t="s">
        <v>119</v>
      </c>
      <c r="J89">
        <v>1012</v>
      </c>
    </row>
    <row r="90" spans="1:10">
      <c r="A90" s="3" t="s">
        <v>171</v>
      </c>
      <c r="B90" s="4" t="s">
        <v>67</v>
      </c>
      <c r="C90" s="5">
        <v>50</v>
      </c>
      <c r="D90" s="5">
        <v>7800</v>
      </c>
      <c r="F90" s="3">
        <v>160000</v>
      </c>
      <c r="H90" s="3">
        <v>324</v>
      </c>
      <c r="I90" s="3"/>
      <c r="J90">
        <v>4000</v>
      </c>
    </row>
    <row r="91" spans="1:10">
      <c r="A91" s="3" t="s">
        <v>172</v>
      </c>
      <c r="B91" s="4" t="s">
        <v>67</v>
      </c>
      <c r="C91" s="5">
        <v>100</v>
      </c>
      <c r="D91" s="5">
        <v>15600</v>
      </c>
      <c r="F91" s="3">
        <v>160000</v>
      </c>
      <c r="H91" s="3">
        <v>424</v>
      </c>
      <c r="I91" s="3"/>
      <c r="J91">
        <v>4000</v>
      </c>
    </row>
    <row r="92" spans="1:10">
      <c r="A92" s="3" t="s">
        <v>173</v>
      </c>
      <c r="B92" s="4" t="s">
        <v>67</v>
      </c>
      <c r="C92" s="5">
        <v>50</v>
      </c>
      <c r="D92" s="5">
        <v>3500</v>
      </c>
      <c r="F92" s="3">
        <v>70000</v>
      </c>
      <c r="H92" s="3">
        <v>262</v>
      </c>
      <c r="I92" s="3"/>
      <c r="J92">
        <v>4000</v>
      </c>
    </row>
    <row r="93" spans="1:10">
      <c r="A93" s="3" t="s">
        <v>174</v>
      </c>
      <c r="B93" s="4" t="s">
        <v>67</v>
      </c>
      <c r="C93" s="5">
        <v>100</v>
      </c>
      <c r="D93" s="5">
        <v>6900</v>
      </c>
      <c r="F93" s="3">
        <v>70000</v>
      </c>
      <c r="H93" s="3">
        <v>392</v>
      </c>
      <c r="I93" s="3"/>
      <c r="J93">
        <v>4000</v>
      </c>
    </row>
    <row r="94" spans="1:10">
      <c r="A94" s="3" t="s">
        <v>175</v>
      </c>
      <c r="B94" s="4" t="s">
        <v>67</v>
      </c>
      <c r="C94" s="5">
        <v>800</v>
      </c>
      <c r="D94" s="5">
        <v>515000</v>
      </c>
      <c r="F94" s="3">
        <v>640000</v>
      </c>
      <c r="H94" s="3">
        <v>2363</v>
      </c>
      <c r="I94" s="3"/>
      <c r="J94">
        <v>4000</v>
      </c>
    </row>
    <row r="95" spans="1:10">
      <c r="A95" s="3" t="s">
        <v>176</v>
      </c>
      <c r="B95" s="4" t="s">
        <v>67</v>
      </c>
      <c r="C95" s="5">
        <v>600</v>
      </c>
      <c r="D95" s="5">
        <v>380000</v>
      </c>
      <c r="F95" s="3">
        <v>645000</v>
      </c>
      <c r="H95" s="3">
        <v>1752</v>
      </c>
      <c r="I95" s="3"/>
      <c r="J95">
        <v>4000</v>
      </c>
    </row>
    <row r="96" spans="1:10">
      <c r="A96" s="3" t="s">
        <v>177</v>
      </c>
      <c r="B96" s="4" t="s">
        <v>67</v>
      </c>
      <c r="C96" s="5">
        <v>500</v>
      </c>
      <c r="D96" s="5">
        <v>316000</v>
      </c>
      <c r="F96" s="3">
        <v>645000</v>
      </c>
      <c r="H96" s="3">
        <v>1498</v>
      </c>
      <c r="I96" s="3"/>
      <c r="J96">
        <v>4000</v>
      </c>
    </row>
    <row r="97" spans="1:10">
      <c r="A97" s="3" t="s">
        <v>178</v>
      </c>
      <c r="B97" s="4" t="s">
        <v>67</v>
      </c>
      <c r="C97" s="5">
        <v>400</v>
      </c>
      <c r="D97" s="5">
        <v>253000</v>
      </c>
      <c r="F97" s="3">
        <v>645000</v>
      </c>
      <c r="H97" s="3">
        <v>1257</v>
      </c>
      <c r="I97" s="3"/>
      <c r="J97">
        <v>4000</v>
      </c>
    </row>
    <row r="98" spans="1:10">
      <c r="A98" s="3" t="s">
        <v>179</v>
      </c>
      <c r="B98" s="4" t="s">
        <v>67</v>
      </c>
      <c r="C98" s="5">
        <v>150</v>
      </c>
      <c r="D98" s="5">
        <v>94000</v>
      </c>
      <c r="F98" s="3">
        <v>645000</v>
      </c>
      <c r="H98" s="3">
        <v>606</v>
      </c>
      <c r="I98" s="3"/>
      <c r="J98">
        <v>4000</v>
      </c>
    </row>
    <row r="99" spans="1:10">
      <c r="A99" s="3" t="s">
        <v>180</v>
      </c>
      <c r="B99" s="4" t="s">
        <v>67</v>
      </c>
      <c r="C99" s="5">
        <v>115</v>
      </c>
      <c r="D99" s="5">
        <v>71000</v>
      </c>
      <c r="F99" s="3">
        <v>645000</v>
      </c>
      <c r="H99" s="3">
        <v>516</v>
      </c>
      <c r="I99" s="3"/>
      <c r="J99">
        <v>4000</v>
      </c>
    </row>
    <row r="100" spans="1:10">
      <c r="A100" s="3" t="s">
        <v>181</v>
      </c>
      <c r="B100" s="4" t="s">
        <v>67</v>
      </c>
      <c r="C100" s="5">
        <v>1000</v>
      </c>
      <c r="D100" s="5">
        <v>587000</v>
      </c>
      <c r="F100" s="3">
        <v>600000</v>
      </c>
      <c r="H100" s="3">
        <v>2880</v>
      </c>
      <c r="I100" s="3"/>
      <c r="J100">
        <v>4000</v>
      </c>
    </row>
    <row r="101" spans="1:10">
      <c r="A101" s="3" t="s">
        <v>182</v>
      </c>
      <c r="B101" s="4" t="s">
        <v>67</v>
      </c>
      <c r="C101" s="5">
        <v>800</v>
      </c>
      <c r="D101" s="5">
        <v>311000</v>
      </c>
      <c r="F101" s="3">
        <v>400000</v>
      </c>
      <c r="H101" s="3">
        <v>2445</v>
      </c>
      <c r="I101" s="3"/>
      <c r="J101">
        <v>4000</v>
      </c>
    </row>
    <row r="102" spans="1:10">
      <c r="A102" s="3" t="s">
        <v>183</v>
      </c>
      <c r="B102" s="4" t="s">
        <v>67</v>
      </c>
      <c r="C102" s="5">
        <v>600</v>
      </c>
      <c r="D102" s="5">
        <v>242000</v>
      </c>
      <c r="F102" s="3">
        <v>400000</v>
      </c>
      <c r="H102" s="3">
        <v>1917</v>
      </c>
      <c r="I102" s="3"/>
      <c r="J102">
        <v>4000</v>
      </c>
    </row>
    <row r="103" spans="1:10">
      <c r="A103" s="3" t="s">
        <v>184</v>
      </c>
      <c r="B103" s="4" t="s">
        <v>67</v>
      </c>
      <c r="C103" s="5">
        <v>400</v>
      </c>
      <c r="D103" s="5">
        <v>184000</v>
      </c>
      <c r="F103" s="3">
        <v>475000</v>
      </c>
      <c r="H103" s="3">
        <v>1293</v>
      </c>
      <c r="I103" s="3"/>
      <c r="J103">
        <v>4000</v>
      </c>
    </row>
    <row r="104" spans="1:10">
      <c r="A104" s="3" t="s">
        <v>185</v>
      </c>
      <c r="B104" s="4" t="s">
        <v>67</v>
      </c>
      <c r="C104" s="5">
        <v>300</v>
      </c>
      <c r="D104" s="5">
        <v>138000</v>
      </c>
      <c r="F104" s="3">
        <v>475000</v>
      </c>
      <c r="H104" s="3">
        <v>1029</v>
      </c>
      <c r="I104" s="3"/>
      <c r="J104">
        <v>4000</v>
      </c>
    </row>
    <row r="105" spans="1:10">
      <c r="A105" s="3" t="s">
        <v>186</v>
      </c>
      <c r="B105" s="4" t="s">
        <v>67</v>
      </c>
      <c r="C105" s="5">
        <v>250</v>
      </c>
      <c r="D105" s="5">
        <v>115000</v>
      </c>
      <c r="F105" s="3">
        <v>475000</v>
      </c>
      <c r="H105" s="3">
        <v>897</v>
      </c>
      <c r="I105" s="3"/>
      <c r="J105">
        <v>4000</v>
      </c>
    </row>
    <row r="106" spans="1:10">
      <c r="A106" s="3" t="s">
        <v>187</v>
      </c>
      <c r="B106" s="4" t="s">
        <v>67</v>
      </c>
      <c r="C106" s="5">
        <v>800</v>
      </c>
      <c r="D106" s="5">
        <v>259000</v>
      </c>
      <c r="F106" s="3">
        <v>330000</v>
      </c>
      <c r="H106" s="3">
        <v>2332</v>
      </c>
      <c r="I106" s="3"/>
      <c r="J106">
        <v>4000</v>
      </c>
    </row>
    <row r="107" spans="1:10">
      <c r="A107" s="3" t="s">
        <v>188</v>
      </c>
      <c r="B107" s="4" t="s">
        <v>67</v>
      </c>
      <c r="C107" s="5">
        <v>600</v>
      </c>
      <c r="D107" s="5">
        <v>216000</v>
      </c>
      <c r="F107" s="3">
        <v>375000</v>
      </c>
      <c r="H107" s="3">
        <v>1725</v>
      </c>
      <c r="I107" s="3"/>
      <c r="J107">
        <v>4000</v>
      </c>
    </row>
    <row r="108" spans="1:10">
      <c r="A108" s="3" t="s">
        <v>189</v>
      </c>
      <c r="B108" s="4" t="s">
        <v>67</v>
      </c>
      <c r="C108" s="5">
        <v>400</v>
      </c>
      <c r="D108" s="5">
        <v>144000</v>
      </c>
      <c r="F108" s="3">
        <v>375000</v>
      </c>
      <c r="H108" s="3">
        <v>1225</v>
      </c>
      <c r="I108" s="3"/>
      <c r="J108">
        <v>4000</v>
      </c>
    </row>
    <row r="109" spans="1:10">
      <c r="A109" s="3" t="s">
        <v>190</v>
      </c>
      <c r="B109" s="4" t="s">
        <v>67</v>
      </c>
      <c r="C109" s="5">
        <v>300</v>
      </c>
      <c r="D109" s="5">
        <v>108000</v>
      </c>
      <c r="E109" s="3"/>
      <c r="F109" s="3">
        <v>375000</v>
      </c>
      <c r="G109" s="3"/>
      <c r="H109" s="3">
        <v>973</v>
      </c>
      <c r="I109" s="3"/>
      <c r="J109">
        <v>4000</v>
      </c>
    </row>
    <row r="110" spans="1:10">
      <c r="A110" s="3" t="s">
        <v>191</v>
      </c>
      <c r="B110" s="4" t="s">
        <v>67</v>
      </c>
      <c r="C110" s="5">
        <v>200</v>
      </c>
      <c r="D110" s="5">
        <v>74000</v>
      </c>
      <c r="E110" s="3"/>
      <c r="F110" s="3">
        <v>375000</v>
      </c>
      <c r="G110" s="3"/>
      <c r="H110" s="3">
        <v>724</v>
      </c>
      <c r="I110" s="3"/>
      <c r="J110">
        <v>4000</v>
      </c>
    </row>
    <row r="111" spans="1:10">
      <c r="A111" s="3" t="s">
        <v>192</v>
      </c>
      <c r="B111" s="4" t="s">
        <v>67</v>
      </c>
      <c r="C111" s="5">
        <v>150</v>
      </c>
      <c r="D111" s="5">
        <v>55000</v>
      </c>
      <c r="E111" s="3"/>
      <c r="F111" s="3">
        <v>375000</v>
      </c>
      <c r="G111" s="3"/>
      <c r="H111" s="3">
        <v>597</v>
      </c>
      <c r="I111" s="3"/>
      <c r="J111">
        <v>4000</v>
      </c>
    </row>
    <row r="112" spans="1:10">
      <c r="A112" s="3" t="s">
        <v>193</v>
      </c>
      <c r="B112" s="4" t="s">
        <v>67</v>
      </c>
      <c r="C112" s="5">
        <v>1000</v>
      </c>
      <c r="D112" s="5">
        <v>299000</v>
      </c>
      <c r="E112" s="3"/>
      <c r="F112" s="3">
        <v>300000</v>
      </c>
      <c r="G112" s="3"/>
      <c r="H112" s="3">
        <v>2836</v>
      </c>
      <c r="I112" s="3"/>
      <c r="J112">
        <v>4000</v>
      </c>
    </row>
    <row r="113" spans="1:10">
      <c r="A113" s="3" t="s">
        <v>194</v>
      </c>
      <c r="B113" s="4" t="s">
        <v>67</v>
      </c>
      <c r="C113" s="5">
        <v>100</v>
      </c>
      <c r="D113" s="5">
        <v>37000</v>
      </c>
      <c r="E113" s="3"/>
      <c r="F113" s="3">
        <v>375000</v>
      </c>
      <c r="G113" s="3"/>
      <c r="H113" s="3">
        <v>471</v>
      </c>
      <c r="I113" s="3"/>
      <c r="J113">
        <v>4000</v>
      </c>
    </row>
    <row r="114" spans="1:10">
      <c r="A114" s="3" t="s">
        <v>195</v>
      </c>
      <c r="B114" s="4" t="s">
        <v>67</v>
      </c>
      <c r="C114" s="5">
        <v>800</v>
      </c>
      <c r="D114" s="5">
        <v>156000</v>
      </c>
      <c r="E114" s="3"/>
      <c r="F114" s="3">
        <v>200000</v>
      </c>
      <c r="G114" s="3"/>
      <c r="H114" s="3">
        <v>2426</v>
      </c>
      <c r="I114" s="3"/>
      <c r="J114">
        <v>4000</v>
      </c>
    </row>
    <row r="115" spans="1:10">
      <c r="A115" s="3" t="s">
        <v>196</v>
      </c>
      <c r="B115" s="4" t="s">
        <v>67</v>
      </c>
      <c r="C115" s="5">
        <v>600</v>
      </c>
      <c r="D115" s="5">
        <v>129000</v>
      </c>
      <c r="E115" s="3"/>
      <c r="F115" s="3">
        <v>220000</v>
      </c>
      <c r="G115" s="3"/>
      <c r="H115" s="3">
        <v>1888</v>
      </c>
      <c r="I115" s="3"/>
      <c r="J115">
        <v>4000</v>
      </c>
    </row>
    <row r="116" spans="1:10">
      <c r="A116" s="3" t="s">
        <v>197</v>
      </c>
      <c r="B116" s="4" t="s">
        <v>67</v>
      </c>
      <c r="C116" s="5">
        <v>500</v>
      </c>
      <c r="D116" s="5">
        <v>108000</v>
      </c>
      <c r="E116" s="3"/>
      <c r="F116" s="3">
        <v>235000</v>
      </c>
      <c r="G116" s="3"/>
      <c r="H116" s="3">
        <v>1616</v>
      </c>
      <c r="I116" s="3"/>
      <c r="J116">
        <v>4000</v>
      </c>
    </row>
    <row r="117" spans="1:10">
      <c r="A117" s="3" t="s">
        <v>198</v>
      </c>
      <c r="B117" s="4" t="s">
        <v>67</v>
      </c>
      <c r="C117" s="5">
        <v>50</v>
      </c>
      <c r="D117" s="5">
        <v>11500</v>
      </c>
      <c r="E117" s="3"/>
      <c r="F117" s="3">
        <v>235000</v>
      </c>
      <c r="G117" s="3"/>
      <c r="H117" s="3">
        <v>302</v>
      </c>
      <c r="I117" s="3"/>
      <c r="J117">
        <v>4000</v>
      </c>
    </row>
    <row r="118" customFormat="1" spans="1:10">
      <c r="A118" s="3" t="s">
        <v>199</v>
      </c>
      <c r="B118" s="4" t="s">
        <v>67</v>
      </c>
      <c r="C118" s="5">
        <v>400</v>
      </c>
      <c r="D118" s="5">
        <v>92000</v>
      </c>
      <c r="E118" s="3"/>
      <c r="F118" s="3">
        <v>235000</v>
      </c>
      <c r="G118" s="3"/>
      <c r="H118" s="3">
        <v>1349</v>
      </c>
      <c r="I118" s="3"/>
      <c r="J118">
        <v>4000</v>
      </c>
    </row>
    <row r="119" customFormat="1" spans="1:10">
      <c r="A119" s="3" t="s">
        <v>200</v>
      </c>
      <c r="B119" s="4" t="s">
        <v>67</v>
      </c>
      <c r="C119" s="5">
        <v>200</v>
      </c>
      <c r="D119" s="5">
        <v>46000</v>
      </c>
      <c r="E119" s="3"/>
      <c r="F119" s="3">
        <v>235000</v>
      </c>
      <c r="G119" s="3"/>
      <c r="H119" s="3">
        <v>756</v>
      </c>
      <c r="I119" s="3"/>
      <c r="J119">
        <v>4000</v>
      </c>
    </row>
    <row r="120" customFormat="1" spans="1:10">
      <c r="A120" s="3" t="s">
        <v>201</v>
      </c>
      <c r="B120" s="4" t="s">
        <v>67</v>
      </c>
      <c r="C120" s="5">
        <v>150</v>
      </c>
      <c r="D120" s="5">
        <v>34500</v>
      </c>
      <c r="E120" s="3"/>
      <c r="F120" s="3">
        <v>235000</v>
      </c>
      <c r="G120" s="3"/>
      <c r="H120" s="3">
        <v>618</v>
      </c>
      <c r="I120" s="3"/>
      <c r="J120">
        <v>4000</v>
      </c>
    </row>
    <row r="121" customFormat="1" spans="1:10">
      <c r="A121" s="3" t="s">
        <v>202</v>
      </c>
      <c r="B121" s="4" t="s">
        <v>67</v>
      </c>
      <c r="C121" s="5">
        <v>100</v>
      </c>
      <c r="D121" s="5">
        <v>23000</v>
      </c>
      <c r="E121" s="3"/>
      <c r="F121" s="3">
        <v>235000</v>
      </c>
      <c r="G121" s="3"/>
      <c r="H121" s="3">
        <v>479</v>
      </c>
      <c r="I121" s="3"/>
      <c r="J121">
        <v>4000</v>
      </c>
    </row>
    <row r="122" customFormat="1" spans="1:10">
      <c r="A122" s="3" t="s">
        <v>203</v>
      </c>
      <c r="B122" s="4" t="s">
        <v>67</v>
      </c>
      <c r="C122" s="5">
        <v>200</v>
      </c>
      <c r="D122" s="5">
        <v>62000</v>
      </c>
      <c r="E122" s="3">
        <v>1987900</v>
      </c>
      <c r="F122" s="3">
        <v>355900</v>
      </c>
      <c r="G122" s="3"/>
      <c r="H122" s="3">
        <v>735</v>
      </c>
      <c r="I122" s="3"/>
      <c r="J122">
        <v>5000</v>
      </c>
    </row>
    <row r="123" customFormat="1" spans="1:10">
      <c r="A123" s="3" t="s">
        <v>204</v>
      </c>
      <c r="B123" s="4" t="s">
        <v>67</v>
      </c>
      <c r="C123" s="5">
        <v>150</v>
      </c>
      <c r="D123" s="5">
        <v>46279</v>
      </c>
      <c r="E123" s="3">
        <v>1756700</v>
      </c>
      <c r="F123" s="3">
        <v>355900</v>
      </c>
      <c r="G123" s="3"/>
      <c r="H123" s="3">
        <v>632</v>
      </c>
      <c r="I123" s="3"/>
      <c r="J123">
        <v>5000</v>
      </c>
    </row>
    <row r="124" customFormat="1" spans="1:10">
      <c r="A124" s="3" t="s">
        <v>205</v>
      </c>
      <c r="B124" s="4" t="s">
        <v>67</v>
      </c>
      <c r="C124" s="5">
        <v>1200</v>
      </c>
      <c r="D124" s="5">
        <v>329300</v>
      </c>
      <c r="E124" s="3">
        <v>6919900</v>
      </c>
      <c r="F124" s="3">
        <v>200000</v>
      </c>
      <c r="G124" s="3"/>
      <c r="H124" s="3">
        <v>2854</v>
      </c>
      <c r="I124" s="3"/>
      <c r="J124">
        <v>5000</v>
      </c>
    </row>
    <row r="125" customFormat="1" spans="1:10">
      <c r="A125" s="3" t="s">
        <v>206</v>
      </c>
      <c r="B125" s="4" t="s">
        <v>67</v>
      </c>
      <c r="C125" s="5">
        <v>1000</v>
      </c>
      <c r="D125" s="5">
        <v>289900</v>
      </c>
      <c r="E125" s="3">
        <v>6017100</v>
      </c>
      <c r="F125" s="3">
        <v>355900</v>
      </c>
      <c r="G125" s="3"/>
      <c r="H125" s="3">
        <v>2454</v>
      </c>
      <c r="I125" s="3"/>
      <c r="J125">
        <v>5000</v>
      </c>
    </row>
    <row r="126" customFormat="1" spans="1:10">
      <c r="A126" s="3" t="s">
        <v>207</v>
      </c>
      <c r="B126" s="4" t="s">
        <v>67</v>
      </c>
      <c r="C126" s="5">
        <v>100</v>
      </c>
      <c r="D126" s="5">
        <v>31200</v>
      </c>
      <c r="E126" s="3">
        <v>1534300</v>
      </c>
      <c r="F126" s="3">
        <v>355900</v>
      </c>
      <c r="G126" s="3"/>
      <c r="H126" s="3">
        <v>532</v>
      </c>
      <c r="I126" s="3"/>
      <c r="J126">
        <v>5000</v>
      </c>
    </row>
    <row r="127" customFormat="1" spans="1:10">
      <c r="A127" s="3" t="s">
        <v>208</v>
      </c>
      <c r="B127" s="4" t="s">
        <v>67</v>
      </c>
      <c r="C127" s="5">
        <v>900</v>
      </c>
      <c r="D127" s="5">
        <v>265900</v>
      </c>
      <c r="E127" s="3">
        <v>5567900</v>
      </c>
      <c r="F127" s="3">
        <v>355900</v>
      </c>
      <c r="G127" s="3"/>
      <c r="H127" s="3">
        <v>2252</v>
      </c>
      <c r="I127" s="3"/>
      <c r="J127">
        <v>5000</v>
      </c>
    </row>
    <row r="128" customFormat="1" spans="1:10">
      <c r="A128" s="3" t="s">
        <v>209</v>
      </c>
      <c r="B128" s="4" t="s">
        <v>67</v>
      </c>
      <c r="C128" s="5">
        <v>800</v>
      </c>
      <c r="D128" s="5">
        <v>240500</v>
      </c>
      <c r="E128" s="3">
        <v>5114300</v>
      </c>
      <c r="F128" s="3">
        <v>355900</v>
      </c>
      <c r="G128" s="3"/>
      <c r="H128" s="3">
        <v>2048</v>
      </c>
      <c r="I128" s="3"/>
      <c r="J128">
        <v>5000</v>
      </c>
    </row>
    <row r="129" customFormat="1" spans="1:10">
      <c r="A129" s="3" t="s">
        <v>210</v>
      </c>
      <c r="B129" s="4" t="s">
        <v>67</v>
      </c>
      <c r="C129" s="5">
        <v>700</v>
      </c>
      <c r="D129" s="5">
        <v>215100</v>
      </c>
      <c r="E129" s="3">
        <v>4660700</v>
      </c>
      <c r="F129" s="3">
        <v>355900</v>
      </c>
      <c r="G129" s="3"/>
      <c r="H129" s="3">
        <v>1844</v>
      </c>
      <c r="I129" s="3"/>
      <c r="J129">
        <v>5000</v>
      </c>
    </row>
    <row r="130" customFormat="1" spans="1:10">
      <c r="A130" s="3" t="s">
        <v>211</v>
      </c>
      <c r="B130" s="4" t="s">
        <v>67</v>
      </c>
      <c r="C130" s="5">
        <v>600</v>
      </c>
      <c r="D130" s="5">
        <v>184800</v>
      </c>
      <c r="E130" s="3">
        <v>4211500</v>
      </c>
      <c r="F130" s="3">
        <v>355900</v>
      </c>
      <c r="G130" s="3"/>
      <c r="H130" s="3">
        <v>1642</v>
      </c>
      <c r="I130" s="3"/>
      <c r="J130">
        <v>5000</v>
      </c>
    </row>
    <row r="131" customFormat="1" spans="1:10">
      <c r="A131" s="3" t="s">
        <v>212</v>
      </c>
      <c r="B131" s="4" t="s">
        <v>67</v>
      </c>
      <c r="C131" s="5">
        <v>500</v>
      </c>
      <c r="D131" s="5">
        <v>154000</v>
      </c>
      <c r="E131" s="3">
        <v>3757900</v>
      </c>
      <c r="F131" s="3">
        <v>355900</v>
      </c>
      <c r="G131" s="3"/>
      <c r="H131" s="3">
        <v>1438</v>
      </c>
      <c r="I131" s="3"/>
      <c r="J131">
        <v>5000</v>
      </c>
    </row>
    <row r="132" customFormat="1" spans="1:10">
      <c r="A132" s="3" t="s">
        <v>213</v>
      </c>
      <c r="B132" s="4" t="s">
        <v>67</v>
      </c>
      <c r="C132" s="5">
        <v>50</v>
      </c>
      <c r="D132" s="5">
        <v>15700</v>
      </c>
      <c r="E132" s="3">
        <v>943700</v>
      </c>
      <c r="F132" s="3">
        <v>355900</v>
      </c>
      <c r="G132" s="3"/>
      <c r="H132" s="3">
        <v>430</v>
      </c>
      <c r="I132" s="3"/>
      <c r="J132">
        <v>5000</v>
      </c>
    </row>
    <row r="133" customFormat="1" spans="1:10">
      <c r="A133" s="3" t="s">
        <v>214</v>
      </c>
      <c r="B133" s="4" t="s">
        <v>67</v>
      </c>
      <c r="C133" s="5">
        <v>400</v>
      </c>
      <c r="D133" s="5">
        <v>123100</v>
      </c>
      <c r="E133" s="3">
        <v>3304300</v>
      </c>
      <c r="F133" s="3">
        <v>355900</v>
      </c>
      <c r="G133" s="3"/>
      <c r="H133" s="3">
        <v>1234</v>
      </c>
      <c r="I133" s="3"/>
      <c r="J133">
        <v>5000</v>
      </c>
    </row>
    <row r="134" customFormat="1" spans="1:10">
      <c r="A134" s="3" t="s">
        <v>215</v>
      </c>
      <c r="B134" s="4" t="s">
        <v>67</v>
      </c>
      <c r="C134" s="5">
        <v>300</v>
      </c>
      <c r="D134" s="5">
        <v>92600</v>
      </c>
      <c r="E134" s="3">
        <v>1855100</v>
      </c>
      <c r="F134" s="3">
        <v>355900</v>
      </c>
      <c r="G134" s="3"/>
      <c r="H134" s="3">
        <v>1032</v>
      </c>
      <c r="I134" s="3"/>
      <c r="J134">
        <v>5000</v>
      </c>
    </row>
    <row r="135" customFormat="1" spans="1:10">
      <c r="A135" s="3" t="s">
        <v>216</v>
      </c>
      <c r="B135" s="4" t="s">
        <v>67</v>
      </c>
      <c r="C135" s="5">
        <v>250</v>
      </c>
      <c r="D135" s="5">
        <v>77100</v>
      </c>
      <c r="E135" s="3">
        <v>2210300</v>
      </c>
      <c r="F135" s="3">
        <v>355900</v>
      </c>
      <c r="G135" s="3"/>
      <c r="H135" s="3">
        <v>836</v>
      </c>
      <c r="I135" s="3"/>
      <c r="J135">
        <v>5000</v>
      </c>
    </row>
    <row r="136" customFormat="1" spans="1:10">
      <c r="A136" s="3" t="s">
        <v>217</v>
      </c>
      <c r="B136" s="4" t="s">
        <v>67</v>
      </c>
      <c r="C136" s="5">
        <v>200</v>
      </c>
      <c r="D136" s="5">
        <v>50900</v>
      </c>
      <c r="E136" s="3">
        <v>1333600</v>
      </c>
      <c r="F136" s="3">
        <v>300250</v>
      </c>
      <c r="G136" s="3"/>
      <c r="H136" s="3">
        <v>658</v>
      </c>
      <c r="I136" s="3"/>
      <c r="J136">
        <v>5000</v>
      </c>
    </row>
    <row r="137" customFormat="1" spans="1:10">
      <c r="A137" s="3" t="s">
        <v>218</v>
      </c>
      <c r="B137" s="4" t="s">
        <v>67</v>
      </c>
      <c r="C137" s="5">
        <v>150</v>
      </c>
      <c r="D137" s="5">
        <v>38800</v>
      </c>
      <c r="E137" s="3">
        <v>1161900</v>
      </c>
      <c r="F137" s="3">
        <v>300250</v>
      </c>
      <c r="G137" s="3"/>
      <c r="H137" s="3">
        <v>556</v>
      </c>
      <c r="I137" s="3"/>
      <c r="J137">
        <v>5000</v>
      </c>
    </row>
    <row r="138" customFormat="1" spans="1:10">
      <c r="A138" s="3" t="s">
        <v>219</v>
      </c>
      <c r="B138" s="4" t="s">
        <v>67</v>
      </c>
      <c r="C138" s="5">
        <v>1400</v>
      </c>
      <c r="D138" s="5">
        <v>273300</v>
      </c>
      <c r="E138" s="3">
        <v>5604000</v>
      </c>
      <c r="F138" s="3">
        <v>112500</v>
      </c>
      <c r="G138" s="3"/>
      <c r="H138" s="3">
        <v>2739</v>
      </c>
      <c r="I138" s="3"/>
      <c r="J138">
        <v>5000</v>
      </c>
    </row>
    <row r="139" customFormat="1" spans="1:10">
      <c r="A139" s="3" t="s">
        <v>220</v>
      </c>
      <c r="B139" s="4" t="s">
        <v>67</v>
      </c>
      <c r="C139" s="5">
        <v>1200</v>
      </c>
      <c r="D139" s="5">
        <v>247200</v>
      </c>
      <c r="E139" s="3">
        <v>4930500</v>
      </c>
      <c r="F139" s="3">
        <v>155700</v>
      </c>
      <c r="G139" s="3"/>
      <c r="H139" s="3">
        <v>2739</v>
      </c>
      <c r="I139" s="3"/>
      <c r="J139">
        <v>5000</v>
      </c>
    </row>
    <row r="140" customFormat="1" spans="1:10">
      <c r="A140" s="3" t="s">
        <v>221</v>
      </c>
      <c r="B140" s="4" t="s">
        <v>67</v>
      </c>
      <c r="C140" s="5">
        <v>1000</v>
      </c>
      <c r="D140" s="5">
        <v>216800</v>
      </c>
      <c r="E140" s="3">
        <v>4256900</v>
      </c>
      <c r="F140" s="3">
        <v>215700</v>
      </c>
      <c r="G140" s="3"/>
      <c r="H140" s="3">
        <v>2339</v>
      </c>
      <c r="I140" s="3"/>
      <c r="J140">
        <v>5000</v>
      </c>
    </row>
    <row r="141" customFormat="1" spans="1:10">
      <c r="A141" s="3" t="s">
        <v>222</v>
      </c>
      <c r="B141" s="4" t="s">
        <v>67</v>
      </c>
      <c r="C141" s="5">
        <v>100</v>
      </c>
      <c r="D141" s="5">
        <v>26000</v>
      </c>
      <c r="E141" s="3">
        <v>993500</v>
      </c>
      <c r="F141" s="3">
        <v>300250</v>
      </c>
      <c r="G141" s="3"/>
      <c r="H141" s="3">
        <v>456</v>
      </c>
      <c r="I141" s="3"/>
      <c r="J141">
        <v>5000</v>
      </c>
    </row>
    <row r="142" customFormat="1" spans="1:10">
      <c r="A142" s="3" t="s">
        <v>223</v>
      </c>
      <c r="B142" s="4" t="s">
        <v>67</v>
      </c>
      <c r="C142" s="5">
        <v>900</v>
      </c>
      <c r="D142" s="5">
        <v>198300</v>
      </c>
      <c r="E142" s="3">
        <v>3916800</v>
      </c>
      <c r="F142" s="3">
        <v>260200</v>
      </c>
      <c r="G142" s="3"/>
      <c r="H142" s="3">
        <v>2137</v>
      </c>
      <c r="I142" s="3"/>
      <c r="J142">
        <v>5000</v>
      </c>
    </row>
    <row r="143" customFormat="1" spans="1:10">
      <c r="A143" s="3" t="s">
        <v>224</v>
      </c>
      <c r="B143" s="4" t="s">
        <v>67</v>
      </c>
      <c r="C143" s="5">
        <v>800</v>
      </c>
      <c r="D143" s="5">
        <v>178400</v>
      </c>
      <c r="E143" s="3">
        <v>3573200</v>
      </c>
      <c r="F143" s="3">
        <v>300250</v>
      </c>
      <c r="G143" s="3"/>
      <c r="H143" s="3">
        <v>1933</v>
      </c>
      <c r="I143" s="3"/>
      <c r="J143">
        <v>5000</v>
      </c>
    </row>
    <row r="144" customFormat="1" spans="1:10">
      <c r="A144" s="3" t="s">
        <v>225</v>
      </c>
      <c r="B144" s="4" t="s">
        <v>67</v>
      </c>
      <c r="C144" s="5">
        <v>700</v>
      </c>
      <c r="D144" s="5">
        <v>158500</v>
      </c>
      <c r="E144" s="3">
        <v>3229700</v>
      </c>
      <c r="F144" s="3">
        <v>300250</v>
      </c>
      <c r="G144" s="3"/>
      <c r="H144" s="3">
        <v>1729</v>
      </c>
      <c r="I144" s="3"/>
      <c r="J144">
        <v>5000</v>
      </c>
    </row>
    <row r="145" customFormat="1" spans="1:10">
      <c r="A145" s="3" t="s">
        <v>226</v>
      </c>
      <c r="B145" s="4" t="s">
        <v>67</v>
      </c>
      <c r="C145" s="5">
        <v>600</v>
      </c>
      <c r="D145" s="5">
        <v>138700</v>
      </c>
      <c r="E145" s="3">
        <v>2889600</v>
      </c>
      <c r="F145" s="3">
        <v>300250</v>
      </c>
      <c r="G145" s="3"/>
      <c r="H145" s="3">
        <v>1527</v>
      </c>
      <c r="I145" s="3"/>
      <c r="J145">
        <v>5000</v>
      </c>
    </row>
    <row r="146" customFormat="1" spans="1:10">
      <c r="A146" s="3" t="s">
        <v>227</v>
      </c>
      <c r="B146" s="4" t="s">
        <v>67</v>
      </c>
      <c r="C146" s="5">
        <v>500</v>
      </c>
      <c r="D146" s="5">
        <v>118800</v>
      </c>
      <c r="E146" s="3">
        <v>2546100</v>
      </c>
      <c r="F146" s="3">
        <v>300250</v>
      </c>
      <c r="G146" s="3"/>
      <c r="H146" s="3">
        <v>1323</v>
      </c>
      <c r="I146" s="3"/>
      <c r="J146">
        <v>5000</v>
      </c>
    </row>
    <row r="147" customFormat="1" spans="1:10">
      <c r="A147" s="3" t="s">
        <v>228</v>
      </c>
      <c r="B147" s="4" t="s">
        <v>67</v>
      </c>
      <c r="C147" s="5">
        <v>50</v>
      </c>
      <c r="D147" s="5">
        <v>13000</v>
      </c>
      <c r="E147" s="3">
        <v>781000</v>
      </c>
      <c r="F147" s="3">
        <v>300250</v>
      </c>
      <c r="G147" s="3"/>
      <c r="H147" s="3">
        <v>354</v>
      </c>
      <c r="I147" s="3"/>
      <c r="J147">
        <v>5000</v>
      </c>
    </row>
    <row r="148" customFormat="1" spans="1:10">
      <c r="A148" s="3" t="s">
        <v>229</v>
      </c>
      <c r="B148" s="4" t="s">
        <v>67</v>
      </c>
      <c r="C148" s="5">
        <v>400</v>
      </c>
      <c r="D148" s="5">
        <v>90500</v>
      </c>
      <c r="E148" s="3">
        <v>2017300</v>
      </c>
      <c r="F148" s="3">
        <v>300250</v>
      </c>
      <c r="G148" s="3"/>
      <c r="H148" s="3">
        <v>1064</v>
      </c>
      <c r="I148" s="3"/>
      <c r="J148">
        <v>5000</v>
      </c>
    </row>
    <row r="149" customFormat="1" spans="1:10">
      <c r="A149" s="3" t="s">
        <v>230</v>
      </c>
      <c r="B149" s="4" t="s">
        <v>67</v>
      </c>
      <c r="C149" s="5">
        <v>300</v>
      </c>
      <c r="D149" s="5">
        <v>70800</v>
      </c>
      <c r="E149" s="3">
        <v>1677200</v>
      </c>
      <c r="F149" s="3">
        <v>300250</v>
      </c>
      <c r="G149" s="3"/>
      <c r="H149" s="3">
        <v>862</v>
      </c>
      <c r="I149" s="3"/>
      <c r="J149">
        <v>5000</v>
      </c>
    </row>
    <row r="150" customFormat="1" spans="1:10">
      <c r="A150" s="3" t="s">
        <v>231</v>
      </c>
      <c r="B150" s="4" t="s">
        <v>67</v>
      </c>
      <c r="C150" s="5">
        <v>250</v>
      </c>
      <c r="D150" s="5">
        <v>60800</v>
      </c>
      <c r="E150" s="3">
        <v>1505400</v>
      </c>
      <c r="F150" s="3">
        <v>300250</v>
      </c>
      <c r="G150" s="3"/>
      <c r="H150" s="3">
        <v>760</v>
      </c>
      <c r="I150" s="3"/>
      <c r="J150">
        <v>5000</v>
      </c>
    </row>
    <row r="151" customFormat="1" spans="1:10">
      <c r="A151" s="3" t="s">
        <v>232</v>
      </c>
      <c r="B151" s="4" t="s">
        <v>67</v>
      </c>
      <c r="C151" s="5">
        <v>200</v>
      </c>
      <c r="D151" s="5">
        <v>35700</v>
      </c>
      <c r="E151" s="3">
        <v>1021500</v>
      </c>
      <c r="F151" s="3">
        <v>222400</v>
      </c>
      <c r="G151" s="3"/>
      <c r="H151" s="3">
        <v>640</v>
      </c>
      <c r="I151" s="3"/>
      <c r="J151">
        <v>5000</v>
      </c>
    </row>
    <row r="152" customFormat="1" spans="1:10">
      <c r="A152" s="3" t="s">
        <v>233</v>
      </c>
      <c r="B152" s="4" t="s">
        <v>67</v>
      </c>
      <c r="C152" s="5">
        <v>1830</v>
      </c>
      <c r="D152" s="5">
        <v>238000</v>
      </c>
      <c r="E152" s="3">
        <v>6242000</v>
      </c>
      <c r="F152" s="3">
        <v>53200</v>
      </c>
      <c r="G152" s="3"/>
      <c r="H152" s="3">
        <v>4012</v>
      </c>
      <c r="I152" s="3"/>
      <c r="J152">
        <v>5000</v>
      </c>
    </row>
    <row r="153" customFormat="1" spans="1:10">
      <c r="A153" s="3" t="s">
        <v>234</v>
      </c>
      <c r="B153" s="4" t="s">
        <v>67</v>
      </c>
      <c r="C153" s="5">
        <v>1629</v>
      </c>
      <c r="D153" s="5">
        <v>217100</v>
      </c>
      <c r="E153" s="3">
        <v>5210400</v>
      </c>
      <c r="F153" s="3">
        <v>53200</v>
      </c>
      <c r="G153" s="3"/>
      <c r="H153" s="3">
        <v>3688</v>
      </c>
      <c r="I153" s="3"/>
      <c r="J153">
        <v>5000</v>
      </c>
    </row>
    <row r="154" customFormat="1" spans="1:10">
      <c r="A154" s="3" t="s">
        <v>235</v>
      </c>
      <c r="B154" s="4" t="s">
        <v>67</v>
      </c>
      <c r="C154" s="5">
        <v>1500</v>
      </c>
      <c r="D154" s="5">
        <v>206800</v>
      </c>
      <c r="E154" s="3">
        <v>5116300</v>
      </c>
      <c r="F154" s="3">
        <v>53200</v>
      </c>
      <c r="G154" s="3"/>
      <c r="H154" s="3">
        <v>3384</v>
      </c>
      <c r="I154" s="3"/>
      <c r="J154">
        <v>5000</v>
      </c>
    </row>
    <row r="155" customFormat="1" spans="1:10">
      <c r="A155" s="3" t="s">
        <v>236</v>
      </c>
      <c r="B155" s="4" t="s">
        <v>67</v>
      </c>
      <c r="C155" s="5">
        <v>1400</v>
      </c>
      <c r="D155" s="5">
        <v>196700</v>
      </c>
      <c r="E155" s="3">
        <v>4788300</v>
      </c>
      <c r="F155" s="3">
        <v>55600</v>
      </c>
      <c r="G155" s="3"/>
      <c r="H155" s="3">
        <v>3156</v>
      </c>
      <c r="I155" s="3"/>
      <c r="J155">
        <v>5000</v>
      </c>
    </row>
    <row r="156" customFormat="1" spans="1:10">
      <c r="A156" s="3" t="s">
        <v>237</v>
      </c>
      <c r="B156" s="4" t="s">
        <v>67</v>
      </c>
      <c r="C156" s="5">
        <v>125</v>
      </c>
      <c r="D156" s="5">
        <v>24200</v>
      </c>
      <c r="E156" s="3">
        <v>805700</v>
      </c>
      <c r="F156" s="3">
        <v>222400</v>
      </c>
      <c r="G156" s="3"/>
      <c r="H156" s="3">
        <v>489</v>
      </c>
      <c r="I156" s="3"/>
      <c r="J156">
        <v>5000</v>
      </c>
    </row>
    <row r="157" customFormat="1" spans="1:10">
      <c r="A157" s="3" t="s">
        <v>238</v>
      </c>
      <c r="B157" s="4" t="s">
        <v>67</v>
      </c>
      <c r="C157" s="5">
        <v>1200</v>
      </c>
      <c r="D157" s="5">
        <v>179700</v>
      </c>
      <c r="E157" s="3">
        <v>4212800</v>
      </c>
      <c r="F157" s="3">
        <v>95600</v>
      </c>
      <c r="G157" s="3"/>
      <c r="H157" s="3">
        <v>2756</v>
      </c>
      <c r="I157" s="3"/>
      <c r="J157">
        <v>5000</v>
      </c>
    </row>
    <row r="158" customFormat="1" spans="1:10">
      <c r="A158" s="3" t="s">
        <v>239</v>
      </c>
      <c r="B158" s="4" t="s">
        <v>67</v>
      </c>
      <c r="C158" s="5">
        <v>1000</v>
      </c>
      <c r="D158" s="5">
        <v>159600</v>
      </c>
      <c r="E158" s="3">
        <v>3637200</v>
      </c>
      <c r="F158" s="3">
        <v>140000</v>
      </c>
      <c r="G158" s="3"/>
      <c r="H158" s="3">
        <v>2356</v>
      </c>
      <c r="I158" s="3"/>
      <c r="J158">
        <v>5000</v>
      </c>
    </row>
    <row r="159" customFormat="1" spans="1:10">
      <c r="A159" s="3" t="s">
        <v>240</v>
      </c>
      <c r="B159" s="4" t="s">
        <v>67</v>
      </c>
      <c r="C159" s="5">
        <v>900</v>
      </c>
      <c r="D159" s="5">
        <v>147700</v>
      </c>
      <c r="E159" s="3">
        <v>3349500</v>
      </c>
      <c r="F159" s="3">
        <v>160100</v>
      </c>
      <c r="G159" s="3"/>
      <c r="H159" s="3">
        <v>2156</v>
      </c>
      <c r="I159" s="3"/>
      <c r="J159">
        <v>5000</v>
      </c>
    </row>
    <row r="160" customFormat="1" spans="1:10">
      <c r="A160" s="3" t="s">
        <v>241</v>
      </c>
      <c r="B160" s="4" t="s">
        <v>67</v>
      </c>
      <c r="C160" s="5">
        <v>800</v>
      </c>
      <c r="D160" s="5">
        <v>130200</v>
      </c>
      <c r="E160" s="3">
        <v>2920700</v>
      </c>
      <c r="F160" s="3">
        <v>180200</v>
      </c>
      <c r="G160" s="3"/>
      <c r="H160" s="3">
        <v>1910</v>
      </c>
      <c r="I160" s="3"/>
      <c r="J160">
        <v>5000</v>
      </c>
    </row>
    <row r="161" customFormat="1" spans="1:10">
      <c r="A161" s="3" t="s">
        <v>242</v>
      </c>
      <c r="B161" s="4" t="s">
        <v>67</v>
      </c>
      <c r="C161" s="5">
        <v>75</v>
      </c>
      <c r="D161" s="5">
        <v>14600</v>
      </c>
      <c r="E161" s="3">
        <v>659000</v>
      </c>
      <c r="F161" s="3">
        <v>222400</v>
      </c>
      <c r="G161" s="3"/>
      <c r="H161" s="3">
        <v>387</v>
      </c>
      <c r="I161" s="3"/>
      <c r="J161">
        <v>5000</v>
      </c>
    </row>
    <row r="162" customFormat="1" spans="1:10">
      <c r="A162" s="3" t="s">
        <v>243</v>
      </c>
      <c r="B162" s="4" t="s">
        <v>67</v>
      </c>
      <c r="C162" s="5">
        <v>700</v>
      </c>
      <c r="D162" s="5">
        <v>115300</v>
      </c>
      <c r="E162" s="3">
        <v>2630100</v>
      </c>
      <c r="F162" s="3">
        <v>222400</v>
      </c>
      <c r="G162" s="3"/>
      <c r="H162" s="3">
        <v>1707</v>
      </c>
      <c r="I162" s="3"/>
      <c r="J162">
        <v>5000</v>
      </c>
    </row>
    <row r="163" customFormat="1" spans="1:10">
      <c r="A163" s="3" t="s">
        <v>244</v>
      </c>
      <c r="B163" s="4" t="s">
        <v>67</v>
      </c>
      <c r="C163" s="5">
        <v>600</v>
      </c>
      <c r="D163" s="5">
        <v>100300</v>
      </c>
      <c r="E163" s="3">
        <v>2336600</v>
      </c>
      <c r="F163" s="3">
        <v>222400</v>
      </c>
      <c r="G163" s="3"/>
      <c r="H163" s="3">
        <v>1504</v>
      </c>
      <c r="I163" s="3"/>
      <c r="J163">
        <v>5000</v>
      </c>
    </row>
    <row r="164" customFormat="1" spans="1:10">
      <c r="A164" s="3" t="s">
        <v>245</v>
      </c>
      <c r="B164" s="4" t="s">
        <v>67</v>
      </c>
      <c r="C164" s="5">
        <v>500</v>
      </c>
      <c r="D164" s="5">
        <v>86400</v>
      </c>
      <c r="E164" s="3">
        <v>2046000</v>
      </c>
      <c r="F164" s="3">
        <v>222400</v>
      </c>
      <c r="G164" s="3"/>
      <c r="H164" s="3">
        <v>1301</v>
      </c>
      <c r="I164" s="3"/>
      <c r="J164">
        <v>5000</v>
      </c>
    </row>
    <row r="165" customFormat="1" spans="1:10">
      <c r="A165" s="3" t="s">
        <v>246</v>
      </c>
      <c r="B165" s="4" t="s">
        <v>67</v>
      </c>
      <c r="C165" s="5">
        <v>50</v>
      </c>
      <c r="D165" s="5">
        <v>9600</v>
      </c>
      <c r="E165" s="3">
        <v>578500</v>
      </c>
      <c r="F165" s="3">
        <v>222400</v>
      </c>
      <c r="G165" s="3"/>
      <c r="H165" s="3">
        <v>336</v>
      </c>
      <c r="I165" s="3"/>
      <c r="J165">
        <v>5000</v>
      </c>
    </row>
    <row r="166" customFormat="1" spans="1:10">
      <c r="A166" s="3" t="s">
        <v>247</v>
      </c>
      <c r="B166" s="4" t="s">
        <v>67</v>
      </c>
      <c r="C166" s="5">
        <v>450</v>
      </c>
      <c r="D166" s="5">
        <v>77900</v>
      </c>
      <c r="E166" s="3">
        <v>1899200</v>
      </c>
      <c r="F166" s="3">
        <v>222400</v>
      </c>
      <c r="G166" s="3"/>
      <c r="H166" s="3">
        <v>1199</v>
      </c>
      <c r="I166" s="3"/>
      <c r="J166">
        <v>5000</v>
      </c>
    </row>
    <row r="167" customFormat="1" spans="1:10">
      <c r="A167" s="3" t="s">
        <v>248</v>
      </c>
      <c r="B167" s="4" t="s">
        <v>67</v>
      </c>
      <c r="C167" s="5">
        <v>400</v>
      </c>
      <c r="D167" s="5">
        <v>70400</v>
      </c>
      <c r="E167" s="3">
        <v>1752400</v>
      </c>
      <c r="F167" s="3">
        <v>222400</v>
      </c>
      <c r="G167" s="3"/>
      <c r="H167" s="3">
        <v>1097</v>
      </c>
      <c r="I167" s="3"/>
      <c r="J167">
        <v>5000</v>
      </c>
    </row>
    <row r="168" customFormat="1" spans="1:10">
      <c r="A168" s="3" t="s">
        <v>249</v>
      </c>
      <c r="B168" s="4" t="s">
        <v>67</v>
      </c>
      <c r="C168" s="5">
        <v>350</v>
      </c>
      <c r="D168" s="5">
        <v>62900</v>
      </c>
      <c r="E168" s="3">
        <v>1605700</v>
      </c>
      <c r="F168" s="3">
        <v>222400</v>
      </c>
      <c r="G168" s="3"/>
      <c r="H168" s="3">
        <v>995</v>
      </c>
      <c r="I168" s="3"/>
      <c r="J168">
        <v>5000</v>
      </c>
    </row>
    <row r="169" customFormat="1" spans="1:10">
      <c r="A169" s="3" t="s">
        <v>250</v>
      </c>
      <c r="B169" s="4" t="s">
        <v>67</v>
      </c>
      <c r="C169" s="5">
        <v>300</v>
      </c>
      <c r="D169" s="5">
        <v>50700</v>
      </c>
      <c r="E169" s="3">
        <v>1315000</v>
      </c>
      <c r="F169" s="3">
        <v>222400</v>
      </c>
      <c r="G169" s="3"/>
      <c r="H169" s="3">
        <v>844</v>
      </c>
      <c r="I169" s="3"/>
      <c r="J169">
        <v>5000</v>
      </c>
    </row>
    <row r="170" customFormat="1" spans="1:10">
      <c r="A170" s="3" t="s">
        <v>251</v>
      </c>
      <c r="B170" s="4" t="s">
        <v>67</v>
      </c>
      <c r="C170" s="5">
        <v>250</v>
      </c>
      <c r="D170" s="5">
        <v>43200</v>
      </c>
      <c r="E170" s="3">
        <v>1168300</v>
      </c>
      <c r="F170" s="3">
        <v>222400</v>
      </c>
      <c r="G170" s="3"/>
      <c r="H170" s="3">
        <v>742</v>
      </c>
      <c r="I170" s="3"/>
      <c r="J170">
        <v>5000</v>
      </c>
    </row>
    <row r="171" customFormat="1" spans="1:10">
      <c r="A171" s="3" t="s">
        <v>252</v>
      </c>
      <c r="B171" s="4" t="s">
        <v>67</v>
      </c>
      <c r="C171" s="5">
        <v>203</v>
      </c>
      <c r="D171" s="5">
        <v>23000</v>
      </c>
      <c r="E171" s="3">
        <v>913700</v>
      </c>
      <c r="F171" s="3">
        <v>111200</v>
      </c>
      <c r="G171" s="3"/>
      <c r="H171" s="3">
        <v>655</v>
      </c>
      <c r="I171" s="3"/>
      <c r="J171">
        <v>5000</v>
      </c>
    </row>
    <row r="172" customFormat="1" spans="1:10">
      <c r="A172" s="3" t="s">
        <v>253</v>
      </c>
      <c r="B172" s="4" t="s">
        <v>67</v>
      </c>
      <c r="C172" s="5">
        <v>152</v>
      </c>
      <c r="D172" s="5">
        <v>17200</v>
      </c>
      <c r="E172" s="3">
        <v>862100</v>
      </c>
      <c r="F172" s="3">
        <v>111200</v>
      </c>
      <c r="G172" s="3"/>
      <c r="H172" s="3">
        <v>553</v>
      </c>
      <c r="I172" s="3"/>
      <c r="J172">
        <v>5000</v>
      </c>
    </row>
    <row r="173" customFormat="1" spans="1:10">
      <c r="A173" s="3" t="s">
        <v>254</v>
      </c>
      <c r="B173" s="4" t="s">
        <v>67</v>
      </c>
      <c r="C173" s="5">
        <v>1400</v>
      </c>
      <c r="D173" s="5">
        <v>125000</v>
      </c>
      <c r="E173" s="3">
        <v>3957000</v>
      </c>
      <c r="F173" s="3">
        <v>35100</v>
      </c>
      <c r="G173" s="3"/>
      <c r="H173" s="3">
        <v>3171</v>
      </c>
      <c r="I173" s="3"/>
      <c r="J173">
        <v>5000</v>
      </c>
    </row>
    <row r="174" customFormat="1" spans="1:10">
      <c r="A174" s="3" t="s">
        <v>255</v>
      </c>
      <c r="B174" s="4" t="s">
        <v>67</v>
      </c>
      <c r="C174" s="5">
        <v>1200</v>
      </c>
      <c r="D174" s="5">
        <v>114500</v>
      </c>
      <c r="E174" s="3">
        <v>3465000</v>
      </c>
      <c r="F174" s="3">
        <v>60000</v>
      </c>
      <c r="G174" s="3"/>
      <c r="H174" s="3">
        <v>2751</v>
      </c>
      <c r="I174" s="3"/>
      <c r="J174">
        <v>5000</v>
      </c>
    </row>
    <row r="175" customFormat="1" spans="1:10">
      <c r="A175" s="3" t="s">
        <v>256</v>
      </c>
      <c r="B175" s="4" t="s">
        <v>67</v>
      </c>
      <c r="C175" s="5">
        <v>1000</v>
      </c>
      <c r="D175" s="5">
        <v>101400</v>
      </c>
      <c r="E175" s="3">
        <v>2996500</v>
      </c>
      <c r="F175" s="3">
        <v>84500</v>
      </c>
      <c r="G175" s="3"/>
      <c r="H175" s="3">
        <v>2351</v>
      </c>
      <c r="I175" s="3"/>
      <c r="J175">
        <v>5000</v>
      </c>
    </row>
    <row r="176" customFormat="1" spans="1:10">
      <c r="A176" s="3" t="s">
        <v>257</v>
      </c>
      <c r="B176" s="4" t="s">
        <v>67</v>
      </c>
      <c r="C176" s="5">
        <v>900</v>
      </c>
      <c r="D176" s="5">
        <v>101200</v>
      </c>
      <c r="E176" s="3">
        <v>2762200</v>
      </c>
      <c r="F176" s="3">
        <v>100000</v>
      </c>
      <c r="G176" s="3"/>
      <c r="H176" s="3">
        <v>2151</v>
      </c>
      <c r="I176" s="3"/>
      <c r="J176">
        <v>5000</v>
      </c>
    </row>
    <row r="177" customFormat="1" spans="1:10">
      <c r="A177" s="3" t="s">
        <v>258</v>
      </c>
      <c r="B177" s="4" t="s">
        <v>67</v>
      </c>
      <c r="C177" s="5">
        <v>800</v>
      </c>
      <c r="D177" s="5">
        <v>70700</v>
      </c>
      <c r="E177" s="3">
        <v>2527900</v>
      </c>
      <c r="F177" s="3">
        <v>111200</v>
      </c>
      <c r="G177" s="3"/>
      <c r="H177" s="3">
        <v>1953</v>
      </c>
      <c r="I177" s="3"/>
      <c r="J177">
        <v>5000</v>
      </c>
    </row>
    <row r="178" customFormat="1" spans="1:10">
      <c r="A178" s="3" t="s">
        <v>259</v>
      </c>
      <c r="B178" s="4" t="s">
        <v>67</v>
      </c>
      <c r="C178" s="5">
        <v>700</v>
      </c>
      <c r="D178" s="5">
        <v>69800</v>
      </c>
      <c r="E178" s="3">
        <v>2106200</v>
      </c>
      <c r="F178" s="3">
        <v>111200</v>
      </c>
      <c r="G178" s="3"/>
      <c r="H178" s="3">
        <v>1672</v>
      </c>
      <c r="I178" s="3"/>
      <c r="J178">
        <v>5000</v>
      </c>
    </row>
    <row r="179" customFormat="1" spans="1:10">
      <c r="A179" s="3" t="s">
        <v>260</v>
      </c>
      <c r="B179" s="4" t="s">
        <v>67</v>
      </c>
      <c r="C179" s="5">
        <v>600</v>
      </c>
      <c r="D179" s="5">
        <v>60800</v>
      </c>
      <c r="E179" s="3">
        <v>1867200</v>
      </c>
      <c r="F179" s="3">
        <v>111200</v>
      </c>
      <c r="G179" s="3"/>
      <c r="H179" s="3">
        <v>1469</v>
      </c>
      <c r="I179" s="3"/>
      <c r="J179">
        <v>5000</v>
      </c>
    </row>
    <row r="180" customFormat="1" spans="1:10">
      <c r="A180" s="3" t="s">
        <v>261</v>
      </c>
      <c r="B180" s="4" t="s">
        <v>67</v>
      </c>
      <c r="C180" s="5">
        <v>500</v>
      </c>
      <c r="D180" s="5">
        <v>51900</v>
      </c>
      <c r="E180" s="3">
        <v>1628300</v>
      </c>
      <c r="F180" s="3">
        <v>111200</v>
      </c>
      <c r="G180" s="3"/>
      <c r="H180" s="3">
        <v>1265</v>
      </c>
      <c r="I180" s="3"/>
      <c r="J180">
        <v>5000</v>
      </c>
    </row>
    <row r="181" customFormat="1" spans="1:10">
      <c r="A181" s="3" t="s">
        <v>262</v>
      </c>
      <c r="B181" s="4" t="s">
        <v>67</v>
      </c>
      <c r="C181" s="5">
        <v>450</v>
      </c>
      <c r="D181" s="5">
        <v>47600</v>
      </c>
      <c r="E181" s="3">
        <v>1151100</v>
      </c>
      <c r="F181" s="3">
        <v>111200</v>
      </c>
      <c r="G181" s="3"/>
      <c r="H181" s="3">
        <v>1164</v>
      </c>
      <c r="I181" s="3"/>
      <c r="J181">
        <v>5000</v>
      </c>
    </row>
    <row r="182" customFormat="1" spans="1:10">
      <c r="A182" s="3" t="s">
        <v>263</v>
      </c>
      <c r="B182" s="4" t="s">
        <v>67</v>
      </c>
      <c r="C182" s="5">
        <v>400</v>
      </c>
      <c r="D182" s="5">
        <v>43200</v>
      </c>
      <c r="E182" s="3">
        <v>1391600</v>
      </c>
      <c r="F182" s="3">
        <v>111200</v>
      </c>
      <c r="G182" s="3"/>
      <c r="H182" s="3">
        <v>1062</v>
      </c>
      <c r="I182" s="3"/>
      <c r="J182">
        <v>5000</v>
      </c>
    </row>
    <row r="183" customFormat="1" spans="1:10">
      <c r="A183" s="3" t="s">
        <v>264</v>
      </c>
      <c r="B183" s="4" t="s">
        <v>67</v>
      </c>
      <c r="C183" s="5">
        <v>350</v>
      </c>
      <c r="D183" s="5">
        <v>38700</v>
      </c>
      <c r="E183" s="3">
        <v>1272100</v>
      </c>
      <c r="F183" s="3">
        <v>111200</v>
      </c>
      <c r="G183" s="3"/>
      <c r="H183" s="3">
        <v>960</v>
      </c>
      <c r="I183" s="3"/>
      <c r="J183">
        <v>5000</v>
      </c>
    </row>
    <row r="184" customFormat="1" spans="1:10">
      <c r="A184" s="3" t="s">
        <v>265</v>
      </c>
      <c r="B184" s="4" t="s">
        <v>67</v>
      </c>
      <c r="C184" s="5">
        <v>300</v>
      </c>
      <c r="D184" s="5">
        <v>34300</v>
      </c>
      <c r="E184" s="3">
        <v>1152700</v>
      </c>
      <c r="F184" s="3">
        <v>111200</v>
      </c>
      <c r="G184" s="3"/>
      <c r="H184" s="3">
        <v>859</v>
      </c>
      <c r="I184" s="3"/>
      <c r="J184">
        <v>5000</v>
      </c>
    </row>
    <row r="185" customFormat="1" spans="1:10">
      <c r="A185" s="3" t="s">
        <v>266</v>
      </c>
      <c r="B185" s="4" t="s">
        <v>67</v>
      </c>
      <c r="C185" s="5">
        <v>250</v>
      </c>
      <c r="D185" s="5">
        <v>28800</v>
      </c>
      <c r="E185" s="3">
        <v>1033200</v>
      </c>
      <c r="F185" s="3">
        <v>111200</v>
      </c>
      <c r="G185" s="3"/>
      <c r="H185" s="3">
        <v>757</v>
      </c>
      <c r="I185" s="3"/>
      <c r="J185">
        <v>5000</v>
      </c>
    </row>
    <row r="186" customFormat="1" spans="1:10">
      <c r="A186" s="3" t="s">
        <v>267</v>
      </c>
      <c r="B186" s="4" t="s">
        <v>67</v>
      </c>
      <c r="C186" s="5">
        <v>200</v>
      </c>
      <c r="D186" s="5">
        <v>12200</v>
      </c>
      <c r="E186" s="3">
        <v>732500</v>
      </c>
      <c r="F186" s="3">
        <v>70060</v>
      </c>
      <c r="G186" s="3"/>
      <c r="H186" s="3">
        <v>613</v>
      </c>
      <c r="I186" s="3"/>
      <c r="J186">
        <v>5000</v>
      </c>
    </row>
    <row r="187" customFormat="1" spans="1:10">
      <c r="A187" s="3" t="s">
        <v>268</v>
      </c>
      <c r="B187" s="4" t="s">
        <v>67</v>
      </c>
      <c r="C187" s="5">
        <v>150</v>
      </c>
      <c r="D187" s="5">
        <v>9100</v>
      </c>
      <c r="E187" s="3">
        <v>546700</v>
      </c>
      <c r="F187" s="3">
        <v>70060</v>
      </c>
      <c r="G187" s="3"/>
      <c r="H187" s="3">
        <v>510</v>
      </c>
      <c r="I187" s="3"/>
      <c r="J187">
        <v>5000</v>
      </c>
    </row>
    <row r="188" customFormat="1" spans="1:10">
      <c r="A188" s="3" t="s">
        <v>269</v>
      </c>
      <c r="B188" s="4" t="s">
        <v>67</v>
      </c>
      <c r="C188" s="5">
        <v>100</v>
      </c>
      <c r="D188" s="5">
        <v>6100</v>
      </c>
      <c r="E188" s="3">
        <v>368000</v>
      </c>
      <c r="F188" s="3">
        <v>70060</v>
      </c>
      <c r="G188" s="3"/>
      <c r="H188" s="3">
        <v>410</v>
      </c>
      <c r="I188" s="3"/>
      <c r="J188">
        <v>5000</v>
      </c>
    </row>
    <row r="189" customFormat="1" spans="1:10">
      <c r="A189" s="3" t="s">
        <v>270</v>
      </c>
      <c r="B189" s="4" t="s">
        <v>67</v>
      </c>
      <c r="C189" s="5">
        <v>813</v>
      </c>
      <c r="D189" s="5">
        <v>36500</v>
      </c>
      <c r="E189" s="3">
        <v>1839300</v>
      </c>
      <c r="F189" s="3">
        <v>16460</v>
      </c>
      <c r="G189" s="3"/>
      <c r="H189" s="3">
        <v>1830</v>
      </c>
      <c r="I189" s="3"/>
      <c r="J189">
        <v>5000</v>
      </c>
    </row>
    <row r="190" customFormat="1" spans="1:10">
      <c r="A190" s="3" t="s">
        <v>271</v>
      </c>
      <c r="B190" s="4" t="s">
        <v>67</v>
      </c>
      <c r="C190" s="5">
        <v>713</v>
      </c>
      <c r="D190" s="5">
        <v>33600</v>
      </c>
      <c r="E190" s="3">
        <v>1649300</v>
      </c>
      <c r="F190" s="3">
        <v>21130</v>
      </c>
      <c r="G190" s="3"/>
      <c r="H190" s="3">
        <v>1629</v>
      </c>
      <c r="I190" s="3"/>
      <c r="J190">
        <v>5000</v>
      </c>
    </row>
    <row r="191" customFormat="1" spans="1:10">
      <c r="A191" s="3" t="s">
        <v>272</v>
      </c>
      <c r="B191" s="4" t="s">
        <v>67</v>
      </c>
      <c r="C191" s="5">
        <v>600</v>
      </c>
      <c r="D191" s="5">
        <v>30500</v>
      </c>
      <c r="E191" s="3">
        <v>1457400</v>
      </c>
      <c r="F191" s="3">
        <v>27800</v>
      </c>
      <c r="G191" s="3"/>
      <c r="H191" s="3">
        <v>1427</v>
      </c>
      <c r="I191" s="3"/>
      <c r="J191">
        <v>5000</v>
      </c>
    </row>
    <row r="192" customFormat="1" spans="1:10">
      <c r="A192" s="3" t="s">
        <v>273</v>
      </c>
      <c r="B192" s="4" t="s">
        <v>67</v>
      </c>
      <c r="C192" s="5">
        <v>500</v>
      </c>
      <c r="D192" s="5">
        <v>27200</v>
      </c>
      <c r="E192" s="3">
        <v>1263600</v>
      </c>
      <c r="F192" s="3">
        <v>38920</v>
      </c>
      <c r="G192" s="3"/>
      <c r="H192" s="3">
        <v>1223</v>
      </c>
      <c r="I192" s="3"/>
      <c r="J192">
        <v>5000</v>
      </c>
    </row>
    <row r="193" customFormat="1" spans="1:10">
      <c r="A193" s="3" t="s">
        <v>274</v>
      </c>
      <c r="B193" s="4" t="s">
        <v>67</v>
      </c>
      <c r="C193" s="5">
        <v>50</v>
      </c>
      <c r="D193" s="5">
        <v>3200</v>
      </c>
      <c r="E193" s="3">
        <v>189000</v>
      </c>
      <c r="F193" s="3">
        <v>70060</v>
      </c>
      <c r="G193" s="3"/>
      <c r="H193" s="3">
        <v>310</v>
      </c>
      <c r="I193" s="3"/>
      <c r="J193">
        <v>5000</v>
      </c>
    </row>
    <row r="194" customFormat="1" spans="1:10">
      <c r="A194" s="3" t="s">
        <v>275</v>
      </c>
      <c r="B194" s="4" t="s">
        <v>67</v>
      </c>
      <c r="C194" s="5">
        <v>450</v>
      </c>
      <c r="D194" s="5">
        <v>25300</v>
      </c>
      <c r="E194" s="3">
        <v>1166700</v>
      </c>
      <c r="F194" s="3">
        <v>47820</v>
      </c>
      <c r="G194" s="3"/>
      <c r="H194" s="3">
        <v>1121</v>
      </c>
      <c r="I194" s="3"/>
      <c r="J194">
        <v>5000</v>
      </c>
    </row>
    <row r="195" spans="1:10">
      <c r="A195" s="3" t="s">
        <v>276</v>
      </c>
      <c r="B195" s="4" t="s">
        <v>67</v>
      </c>
      <c r="C195" s="5">
        <v>400</v>
      </c>
      <c r="D195" s="5">
        <v>23300</v>
      </c>
      <c r="E195" s="3">
        <v>1069800</v>
      </c>
      <c r="F195" s="3">
        <v>60060</v>
      </c>
      <c r="G195" s="3"/>
      <c r="H195" s="3">
        <v>1019</v>
      </c>
      <c r="I195" s="3"/>
      <c r="J195">
        <v>5000</v>
      </c>
    </row>
    <row r="196" spans="1:10">
      <c r="A196" s="3" t="s">
        <v>277</v>
      </c>
      <c r="B196" s="4" t="s">
        <v>67</v>
      </c>
      <c r="C196" s="5">
        <v>350</v>
      </c>
      <c r="D196" s="5">
        <v>20900</v>
      </c>
      <c r="E196" s="3">
        <v>972900</v>
      </c>
      <c r="F196" s="3">
        <v>70060</v>
      </c>
      <c r="G196" s="3"/>
      <c r="H196" s="3">
        <v>918</v>
      </c>
      <c r="I196" s="3"/>
      <c r="J196">
        <v>5000</v>
      </c>
    </row>
    <row r="197" spans="1:10">
      <c r="A197" s="3" t="s">
        <v>278</v>
      </c>
      <c r="B197" s="4" t="s">
        <v>67</v>
      </c>
      <c r="C197" s="5">
        <v>300</v>
      </c>
      <c r="D197" s="5">
        <v>18300</v>
      </c>
      <c r="E197" s="3">
        <v>877900</v>
      </c>
      <c r="F197" s="3">
        <v>70060</v>
      </c>
      <c r="G197" s="3"/>
      <c r="H197" s="3">
        <v>817</v>
      </c>
      <c r="I197" s="3"/>
      <c r="J197">
        <v>5000</v>
      </c>
    </row>
    <row r="198" spans="1:10">
      <c r="A198" s="3" t="s">
        <v>279</v>
      </c>
      <c r="B198" s="4" t="s">
        <v>67</v>
      </c>
      <c r="C198" s="5">
        <v>250</v>
      </c>
      <c r="D198" s="5">
        <v>15200</v>
      </c>
      <c r="E198" s="3">
        <v>781000</v>
      </c>
      <c r="F198" s="3">
        <v>70060</v>
      </c>
      <c r="G198" s="3"/>
      <c r="H198" s="3">
        <v>715</v>
      </c>
      <c r="I198" s="3"/>
      <c r="J198">
        <v>5000</v>
      </c>
    </row>
  </sheetData>
  <autoFilter ref="A1:J198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垂直旋转-横梁或挡板-重力反方向 </vt:lpstr>
      <vt:lpstr>垂直旋转-横梁或挡板-重力方向</vt:lpstr>
      <vt:lpstr>垂直旋转-负荷-重力反方向 </vt:lpstr>
      <vt:lpstr>垂直旋转-负荷-重力方向</vt:lpstr>
      <vt:lpstr>水平旋转-工作台</vt:lpstr>
      <vt:lpstr>水平旋转-横梁或挡板</vt:lpstr>
      <vt:lpstr>水平旋转-负荷</vt:lpstr>
      <vt:lpstr>斜坡-自由滑动</vt:lpstr>
      <vt:lpstr>垂直-推进力-重力反方向 </vt:lpstr>
      <vt:lpstr>垂直-推进力-重力方向</vt:lpstr>
      <vt:lpstr>垂直-电机-重力方向</vt:lpstr>
      <vt:lpstr>垂直-电机-重力反方向</vt:lpstr>
      <vt:lpstr>垂直-气缸-重力反方向</vt:lpstr>
      <vt:lpstr>垂直-气缸-重力方向</vt:lpstr>
      <vt:lpstr>垂直-自由落体</vt:lpstr>
      <vt:lpstr>水平-气缸驱动</vt:lpstr>
      <vt:lpstr>水平-附加推进力</vt:lpstr>
      <vt:lpstr>水平-电机驱动</vt:lpstr>
      <vt:lpstr>水平-自由水平运动</vt:lpstr>
      <vt:lpstr>数据库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黄浩</cp:lastModifiedBy>
  <dcterms:created xsi:type="dcterms:W3CDTF">2006-09-16T00:00:00Z</dcterms:created>
  <dcterms:modified xsi:type="dcterms:W3CDTF">2024-07-14T11:38:44Z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6F960A86A9794F1BA1833DF29DC55848_12</vt:lpwstr>
  </property>
</Properties>
</file>